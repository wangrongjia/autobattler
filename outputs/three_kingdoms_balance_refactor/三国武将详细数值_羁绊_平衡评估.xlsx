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db2b277fe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平衡总览" sheetId="1" r:id="R4621aaf498044ac6"/>
    <x:sheet xmlns:r="http://schemas.openxmlformats.org/officeDocument/2006/relationships" name="武将明细" sheetId="2" r:id="R13e5e499917a4c76"/>
    <x:sheet xmlns:r="http://schemas.openxmlformats.org/officeDocument/2006/relationships" name="技能参数" sheetId="3" r:id="Rf70509ba1a5a4915"/>
    <x:sheet xmlns:r="http://schemas.openxmlformats.org/officeDocument/2006/relationships" name="羁绊总表" sheetId="4" r:id="R45306c3c466747dc"/>
    <x:sheet xmlns:r="http://schemas.openxmlformats.org/officeDocument/2006/relationships" name="阵营分析" sheetId="5" r:id="Re0b29399415244ec"/>
    <x:sheet xmlns:r="http://schemas.openxmlformats.org/officeDocument/2006/relationships" name="调平建议" sheetId="6" r:id="R3b783304a1684beb"/>
    <x:sheet xmlns:r="http://schemas.openxmlformats.org/officeDocument/2006/relationships" name="评分规则" sheetId="7" r:id="Rfb6e089d7fce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"/>
    <x:numFmt numFmtId="202" formatCode="0.0"/>
    <x:numFmt numFmtId="203" formatCode="0.00"/>
    <x:numFmt numFmtId="204" formatCode="#,##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10"/>
      <x:color rgb="FF20252B"/>
      <x:name val="Carlito"/>
    </x:font>
    <x:font>
      <x:b/>
      <x:sz val="12"/>
      <x:color rgb="FF343C46"/>
      <x:name val="Carlito"/>
    </x:font>
    <x:font>
      <x:b/>
      <x:sz val="11"/>
      <x:color rgb="FFFFFFFF"/>
      <x:name val="Carlito"/>
    </x:font>
    <x:font>
      <x:b/>
      <x:sz val="10"/>
      <x:color rgb="FF20252B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343C46"/>
      </x:patternFill>
    </x:fill>
    <x:fill>
      <x:patternFill patternType="solid">
        <x:fgColor rgb="FFEEE7D8"/>
      </x:patternFill>
    </x:fill>
    <x:fill>
      <x:patternFill patternType="solid">
        <x:fgColor rgb="FFEDF3F8"/>
      </x:patternFill>
    </x:fill>
    <x:fill>
      <x:patternFill patternType="solid">
        <x:fgColor rgb="FFFFF8E8"/>
      </x:patternFill>
    </x:fill>
    <x:fill>
      <x:patternFill patternType="solid">
        <x:fgColor rgb="FFF7F3EA"/>
      </x:patternFill>
    </x:fill>
    <x:fill>
      <x:patternFill patternType="solid">
        <x:fgColor rgb="FF7A5A91"/>
      </x:patternFill>
    </x:fill>
    <x:fill>
      <x:patternFill patternType="solid">
        <x:fgColor rgb="FF4E8F63"/>
      </x:patternFill>
    </x:fill>
    <x:fill>
      <x:patternFill patternType="solid">
        <x:fgColor rgb="FF496A9F"/>
      </x:patternFill>
    </x:fill>
    <x:fill>
      <x:patternFill patternType="solid">
        <x:fgColor rgb="FFA64E46"/>
      </x:patternFill>
    </x:fill>
    <x:fill>
      <x:patternFill patternType="solid">
        <x:fgColor rgb="FFE4C77E"/>
      </x:patternFill>
    </x:fill>
  </x:fills>
  <x:borders count="5">
    <x:border/>
    <x:border>
      <x:left style="thin">
        <x:color rgb="FFD8D0C1"/>
      </x:left>
      <x:right style="thin">
        <x:color rgb="FFD8D0C1"/>
      </x:right>
      <x:top style="thin">
        <x:color rgb="FFD8D0C1"/>
      </x:top>
      <x:bottom style="thin">
        <x:color rgb="FFD8D0C1"/>
      </x:bottom>
    </x:border>
    <x:border>
      <x:left style="medium">
        <x:color rgb="FFC79A43"/>
      </x:left>
      <x:top style="medium">
        <x:color rgb="FFC79A43"/>
      </x:top>
      <x:bottom style="medium">
        <x:color rgb="FFC79A43"/>
      </x:bottom>
    </x:border>
    <x:border>
      <x:top style="medium">
        <x:color rgb="FFC79A43"/>
      </x:top>
      <x:bottom style="medium">
        <x:color rgb="FFC79A43"/>
      </x:bottom>
    </x:border>
    <x:border>
      <x:right style="medium">
        <x:color rgb="FFC79A43"/>
      </x:right>
      <x:top style="medium">
        <x:color rgb="FFC79A43"/>
      </x:top>
      <x:bottom style="medium">
        <x:color rgb="FFC79A43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201" fontId="3" fillId="5" borderId="1" xfId="0" applyNumberFormat="1" applyFont="1" applyFill="1" applyBorder="1" applyAlignment="1">
      <x:alignment vertical="top" wrapText="1"/>
    </x:xf>
    <x:xf numFmtId="202" fontId="3" fillId="5" borderId="1" xfId="0" applyNumberFormat="1" applyFont="1" applyFill="1" applyBorder="1" applyAlignment="1">
      <x:alignment vertical="top" wrapText="1"/>
    </x:xf>
    <x:xf numFmtId="203" fontId="3" fillId="5" borderId="1" xfId="0" applyNumberFormat="1" applyFont="1" applyFill="1" applyBorder="1" applyAlignment="1">
      <x:alignment vertical="top" wrapText="1"/>
    </x:xf>
    <x:xf numFmtId="204" fontId="3" fillId="5" borderId="1" xfId="0" applyNumberFormat="1" applyFont="1" applyFill="1" applyBorder="1" applyAlignment="1">
      <x:alignment vertical="top" wrapText="1"/>
    </x:xf>
    <x:xf numFmtId="202" fontId="3" fillId="6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horizontal="center"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horizontal="center" vertical="top" wrapText="1"/>
    </x:xf>
    <x:xf numFmtId="203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12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/>
    </x:xf>
    <x:xf numFmtId="0" fontId="6" fillId="10" borderId="1" xfId="0" applyNumberFormat="1" applyFont="1" applyFill="1" applyBorder="1" applyAlignment="1">
      <x:alignment horizontal="center"/>
    </x:xf>
    <x:xf numFmtId="0" fontId="6" fillId="11" borderId="1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 wrapText="1"/>
    </x:xf>
    <x:xf numFmtId="0" fontId="6" fillId="10" borderId="1" xfId="0" applyNumberFormat="1" applyFont="1" applyFill="1" applyBorder="1" applyAlignment="1">
      <x:alignment horizontal="center" wrapText="1"/>
    </x:xf>
    <x:xf numFmtId="0" fontId="6" fillId="11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vertical="top" wrapText="1"/>
    </x:xf>
    <x:xf numFmtId="0" fontId="6" fillId="10" borderId="1" xfId="0" applyNumberFormat="1" applyFont="1" applyFill="1" applyBorder="1" applyAlignment="1">
      <x:alignment horizontal="center" vertical="top" wrapText="1"/>
    </x:xf>
    <x:xf numFmtId="0" fontId="6" fillId="11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4" fillId="4" borderId="3" xfId="0" applyNumberFormat="1" applyFont="1" applyFill="1" applyBorder="1"/>
    <x:xf numFmtId="202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992ef0b774fa9" /><Relationship Type="http://schemas.openxmlformats.org/officeDocument/2006/relationships/theme" Target="/xl/theme/theme1.xml" Id="R17f67c2cc1734ed5" /><Relationship Type="http://schemas.openxmlformats.org/officeDocument/2006/relationships/sharedStrings" Target="/xl/sharedStrings.xml" Id="R262072139a5a4765" /><Relationship Type="http://schemas.openxmlformats.org/officeDocument/2006/relationships/worksheet" Target="/xl/worksheets/sheet1.xml" Id="R4621aaf498044ac6" /><Relationship Type="http://schemas.openxmlformats.org/officeDocument/2006/relationships/worksheet" Target="/xl/worksheets/sheet2.xml" Id="R13e5e499917a4c76" /><Relationship Type="http://schemas.openxmlformats.org/officeDocument/2006/relationships/worksheet" Target="/xl/worksheets/sheet3.xml" Id="Rf70509ba1a5a4915" /><Relationship Type="http://schemas.openxmlformats.org/officeDocument/2006/relationships/worksheet" Target="/xl/worksheets/sheet4.xml" Id="R45306c3c466747dc" /><Relationship Type="http://schemas.openxmlformats.org/officeDocument/2006/relationships/worksheet" Target="/xl/worksheets/sheet5.xml" Id="Re0b29399415244ec" /><Relationship Type="http://schemas.openxmlformats.org/officeDocument/2006/relationships/worksheet" Target="/xl/worksheets/sheet6.xml" Id="R3b783304a1684beb" /><Relationship Type="http://schemas.openxmlformats.org/officeDocument/2006/relationships/worksheet" Target="/xl/worksheets/sheet7.xml" Id="Rfb6e089d7fce47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5a28b15b2e42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0ac23a4eadd45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阵营平均综合分（0-100）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平均综合分</c:v>
          </c:tx>
          <c:spPr>
            <a:solidFill xmlns:a="http://schemas.openxmlformats.org/drawingml/2006/main">
              <a:srgbClr val="9F3B35"/>
            </a:solidFill>
          </c:spPr>
          <c:cat>
            <c:strRef>
              <c:f>'平衡总览'!$A$13:$A$16</c:f>
              <c:strCache>
                <c:ptCount val="0"/>
              </c:strCache>
            </c:strRef>
          </c:cat>
          <c:val>
            <c:numRef>
              <c:f>'平衡总览'!$F$13:$F$16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四阵营平均综合分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平均综合分</c:v>
          </c:tx>
          <c:spPr>
            <a:solidFill xmlns:a="http://schemas.openxmlformats.org/drawingml/2006/main">
              <a:srgbClr val="C79A43"/>
            </a:solidFill>
          </c:spPr>
          <c:cat>
            <c:strRef>
              <c:f>'阵营分析'!$A$5:$A$8</c:f>
              <c:strCache>
                <c:ptCount val="0"/>
              </c:strCache>
            </c:strRef>
          </c:cat>
          <c:val>
            <c:numRef>
              <c:f>'阵营分析'!$F$5:$F$8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5a28b15b2e425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ac23a4eadd459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877a82024845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5992c551b02d45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8" customHeight="1">
      <x:c r="A1" s="4" t="str">
        <x:v>三国武将平衡总览
56名武将｜版本 0.6｜运行时快照 + 可审计公式</x:v>
      </x:c>
    </x:row>
    <x:row r="2" ht="48" customHeight="1"/>
    <x:row r="4" ht="30" customHeight="1">
      <x:c r="A4" s="10" t="str">
        <x:v>核心指标</x:v>
      </x:c>
      <x:c r="B4" s="10" t="str">
        <x:v>数值</x:v>
      </x:c>
      <x:c r="D4" s="18" t="str">
        <x:v>结论</x:v>
      </x:c>
      <x:c r="E4" s="19" t="str"/>
      <x:c r="F4" s="19" t="str"/>
      <x:c r="G4" s="19" t="str"/>
      <x:c r="H4" s="20" t="str"/>
    </x:row>
    <x:row r="5">
      <x:c r="A5" s="14" t="str">
        <x:v>武将总数</x:v>
      </x:c>
      <x:c r="B5" s="14" t="n">
        <x:f>COUNTA('武将明细'!$A$5:$A$60)</x:f>
        <x:v>56</x:v>
      </x:c>
      <x:c r="D5" s="14" t="str">
        <x:v>本报告用于发现离群值，不把静态分数当作胜率。</x:v>
      </x:c>
      <x:c r="E5" s="14" t="str"/>
      <x:c r="F5" s="14" t="str"/>
      <x:c r="G5" s="14" t="str"/>
      <x:c r="H5" s="14" t="str"/>
    </x:row>
    <x:row r="6">
      <x:c r="A6" s="14" t="str">
        <x:v>平均综合分</x:v>
      </x:c>
      <x:c r="B6" s="72" t="n">
        <x:f>AVERAGE('武将明细'!$AA$5:$AA$60)</x:f>
        <x:v>52.30786358317749</x:v>
      </x:c>
      <x:c r="D6" s="14" t="str">
        <x:v>最大风险来自成套羁绊、行动条接力、免死与反弹；这些机制需单独仿真。</x:v>
      </x:c>
      <x:c r="E6" s="14" t="str"/>
      <x:c r="F6" s="14" t="str"/>
      <x:c r="G6" s="14" t="str"/>
      <x:c r="H6" s="14" t="str"/>
    </x:row>
    <x:row r="7">
      <x:c r="A7" s="14" t="str">
        <x:v>最高综合分</x:v>
      </x:c>
      <x:c r="B7" s="72" t="n">
        <x:f>MAX('武将明细'!$AA$5:$AA$60)</x:f>
        <x:v>75.76666666666668</x:v>
      </x:c>
      <x:c r="D7" s="14" t="str">
        <x:v>建议先处理偏强名单，再观察阵营均值；单次调整控制在5%~12%。</x:v>
      </x:c>
      <x:c r="E7" s="14" t="str"/>
      <x:c r="F7" s="14" t="str"/>
      <x:c r="G7" s="14" t="str"/>
      <x:c r="H7" s="14" t="str"/>
    </x:row>
    <x:row r="8">
      <x:c r="A8" s="14" t="str">
        <x:v>最低综合分</x:v>
      </x:c>
      <x:c r="B8" s="72" t="n">
        <x:f>MIN('武将明细'!$AA$5:$AA$60)</x:f>
        <x:v>38.086333333333336</x:v>
      </x:c>
      <x:c r="D8" s="14" t="str">
        <x:v>无防御属性是当前规则选择：pdef/mdef 已彻底移除，避免展示无效数值。</x:v>
      </x:c>
      <x:c r="E8" s="14" t="str"/>
      <x:c r="F8" s="14" t="str"/>
      <x:c r="G8" s="14" t="str"/>
      <x:c r="H8" s="14" t="str"/>
    </x:row>
    <x:row r="9">
      <x:c r="A9" s="14" t="str">
        <x:v>偏强 / 偏弱</x:v>
      </x:c>
      <x:c r="B9" s="14" t="str">
        <x:f>COUNTIF('武将明细'!$AC$5:$AC$60,"偏强")&amp;" / "&amp;COUNTIF('武将明细'!$AC$5:$AC$60,"偏弱")</x:f>
        <x:v>4 / 5</x:v>
      </x:c>
      <x:c r="D9" s="14" t="str">
        <x:v>周瑜重复乘系数已修复；南蛮灼烧倍率已接入实际伤害路径。</x:v>
      </x:c>
      <x:c r="E9" s="14" t="str"/>
      <x:c r="F9" s="14" t="str"/>
      <x:c r="G9" s="14" t="str"/>
      <x:c r="H9" s="14" t="str"/>
    </x:row>
    <x:row r="12" ht="30" customHeight="1">
      <x:c r="A12" s="10" t="str">
        <x:v>阵营</x:v>
      </x:c>
      <x:c r="B12" s="10" t="str">
        <x:v>武将数</x:v>
      </x:c>
      <x:c r="C12" s="10" t="str">
        <x:v>平均生命</x:v>
      </x:c>
      <x:c r="D12" s="10" t="str">
        <x:v>平均攻击</x:v>
      </x:c>
      <x:c r="E12" s="10" t="str">
        <x:v>平均读条</x:v>
      </x:c>
      <x:c r="F12" s="10" t="str">
        <x:v>平均综合分</x:v>
      </x:c>
    </x:row>
    <x:row r="13">
      <x:c r="A13" s="68" t="str">
        <x:v>蜀</x:v>
      </x:c>
      <x:c r="B13" s="14" t="n">
        <x:f>'阵营分析'!B5</x:f>
        <x:v>14</x:v>
      </x:c>
      <x:c r="C13" s="72" t="n">
        <x:f>'阵营分析'!C5</x:f>
        <x:v>1045.7142857142858</x:v>
      </x:c>
      <x:c r="D13" s="72" t="n">
        <x:f>'阵营分析'!D5</x:f>
        <x:v>45.357142857142854</x:v>
      </x:c>
      <x:c r="E13" s="72" t="n">
        <x:f>'阵营分析'!E5</x:f>
        <x:v>3.0642857142857145</x:v>
      </x:c>
      <x:c r="F13" s="72" t="n">
        <x:f>'阵营分析'!F5</x:f>
        <x:v>55.452802203065126</x:v>
      </x:c>
    </x:row>
    <x:row r="14">
      <x:c r="A14" s="69" t="str">
        <x:v>魏</x:v>
      </x:c>
      <x:c r="B14" s="14" t="n">
        <x:f>'阵营分析'!B6</x:f>
        <x:v>14</x:v>
      </x:c>
      <x:c r="C14" s="72" t="n">
        <x:f>'阵营分析'!C6</x:f>
        <x:v>1181.4285714285713</x:v>
      </x:c>
      <x:c r="D14" s="72" t="n">
        <x:f>'阵营分析'!D6</x:f>
        <x:v>44.57142857142857</x:v>
      </x:c>
      <x:c r="E14" s="72" t="n">
        <x:f>'阵营分析'!E6</x:f>
        <x:v>3.335714285714285</x:v>
      </x:c>
      <x:c r="F14" s="72" t="n">
        <x:f>'阵营分析'!F6</x:f>
        <x:v>50.64007290311248</x:v>
      </x:c>
    </x:row>
    <x:row r="15">
      <x:c r="A15" s="70" t="str">
        <x:v>吴</x:v>
      </x:c>
      <x:c r="B15" s="14" t="n">
        <x:f>'阵营分析'!B7</x:f>
        <x:v>14</x:v>
      </x:c>
      <x:c r="C15" s="72" t="n">
        <x:f>'阵营分析'!C7</x:f>
        <x:v>972.8571428571429</x:v>
      </x:c>
      <x:c r="D15" s="72" t="n">
        <x:f>'阵营分析'!D7</x:f>
        <x:v>44.142857142857146</x:v>
      </x:c>
      <x:c r="E15" s="72" t="n">
        <x:f>'阵营分析'!E7</x:f>
        <x:v>3.3714285714285714</x:v>
      </x:c>
      <x:c r="F15" s="72" t="n">
        <x:f>'阵营分析'!F7</x:f>
        <x:v>50.968673249052294</x:v>
      </x:c>
    </x:row>
    <x:row r="16">
      <x:c r="A16" s="71" t="str">
        <x:v>群</x:v>
      </x:c>
      <x:c r="B16" s="14" t="n">
        <x:f>'阵营分析'!B8</x:f>
        <x:v>14</x:v>
      </x:c>
      <x:c r="C16" s="72" t="n">
        <x:f>'阵营分析'!C8</x:f>
        <x:v>1090</x:v>
      </x:c>
      <x:c r="D16" s="72" t="n">
        <x:f>'阵营分析'!D8</x:f>
        <x:v>43.357142857142854</x:v>
      </x:c>
      <x:c r="E16" s="72" t="n">
        <x:f>'阵营分析'!E8</x:f>
        <x:v>3.3500000000000005</x:v>
      </x:c>
      <x:c r="F16" s="72" t="n">
        <x:f>'阵营分析'!F8</x:f>
        <x:v>52.16990597748006</x:v>
      </x:c>
    </x:row>
    <x:row r="19" ht="30" customHeight="1">
      <x:c r="A19" s="10" t="str">
        <x:v>优先级</x:v>
      </x:c>
      <x:c r="B19" s="10" t="str">
        <x:v>问题</x:v>
      </x:c>
      <x:c r="C19" s="10" t="str">
        <x:v>影响面</x:v>
      </x:c>
      <x:c r="D19" s="10" t="str">
        <x:v>验证方法</x:v>
      </x:c>
      <x:c r="E19" s="10" t="str">
        <x:v>行动</x:v>
      </x:c>
    </x:row>
    <x:row r="20">
      <x:c r="A20" s="14" t="str">
        <x:v>P0</x:v>
      </x:c>
      <x:c r="B20" s="14" t="str">
        <x:v>行动条接力可能形成连续施法</x:v>
      </x:c>
      <x:c r="C20" s="14" t="str">
        <x:v>吴都督、群阵亡链、马超返还</x:v>
      </x:c>
      <x:c r="D20" s="14" t="str">
        <x:v>记录每单位10秒内施法次数</x:v>
      </x:c>
      <x:c r="E20" s="14" t="str">
        <x:v>设置行动条收益上限或递减</x:v>
      </x:c>
    </x:row>
    <x:row r="21">
      <x:c r="A21" s="14" t="str">
        <x:v>P0</x:v>
      </x:c>
      <x:c r="B21" s="14" t="str">
        <x:v>免死/反弹/护主降低反制窗口</x:v>
      </x:c>
      <x:c r="C21" s="14" t="str">
        <x:v>鬼神、河北、护主双壁</x:v>
      </x:c>
      <x:c r="D21" s="14" t="str">
        <x:v>对比爆发队与持续队胜率</x:v>
      </x:c>
      <x:c r="E21" s="14" t="str">
        <x:v>限制连续触发与单次反弹比例</x:v>
      </x:c>
    </x:row>
    <x:row r="22">
      <x:c r="A22" s="14" t="str">
        <x:v>P1</x:v>
      </x:c>
      <x:c r="B22" s="14" t="str">
        <x:v>成套羁绊使技能系数跨档</x:v>
      </x:c>
      <x:c r="C22" s="14" t="str">
        <x:v>五虎、桃园、东吴都督</x:v>
      </x:c>
      <x:c r="D22" s="14" t="str">
        <x:v>空羁绊与满羁绊分别跑镜像局</x:v>
      </x:c>
      <x:c r="E22" s="14" t="str">
        <x:v>优先调整羁绊增量而非裸卡</x:v>
      </x:c>
    </x:row>
    <x:row r="23">
      <x:c r="A23" s="14" t="str">
        <x:v>P1</x:v>
      </x:c>
      <x:c r="B23" s="14" t="str">
        <x:v>范围技能受站位密度影响大</x:v>
      </x:c>
      <x:c r="C23" s="14" t="str">
        <x:v>周瑜、吕布、关羽、陆逊</x:v>
      </x:c>
      <x:c r="D23" s="14" t="str">
        <x:v>分别以1/2/3目标计算伤害</x:v>
      </x:c>
      <x:c r="E23" s="14" t="str">
        <x:v>用目标递减或二级目标系数</x:v>
      </x:c>
    </x:row>
    <x:row r="24">
      <x:c r="A24" s="14" t="str">
        <x:v>P2</x:v>
      </x:c>
      <x:c r="B24" s="14" t="str">
        <x:v>辅助可能被纯伤害评分低估</x:v>
      </x:c>
      <x:c r="C24" s="14" t="str">
        <x:v>刘备、鲁肃、华佗、护盾将</x:v>
      </x:c>
      <x:c r="D24" s="14" t="str">
        <x:v>统计有效治疗与溢出率</x:v>
      </x:c>
      <x:c r="E24" s="14" t="str">
        <x:v>按有效值校准功能基准</x:v>
      </x:c>
    </x:row>
    <x:row r="25">
      <x:c r="A25" s="14" t="str">
        <x:v>P2</x:v>
      </x:c>
      <x:c r="B25" s="14" t="str">
        <x:v>静态分无法表达随机方差</x:v>
      </x:c>
      <x:c r="C25" s="14" t="str">
        <x:v>黄忠暴击、天道、反弹</x:v>
      </x:c>
      <x:c r="D25" s="14" t="str">
        <x:v>每阵容至少100个随机种子</x:v>
      </x:c>
      <x:c r="E25" s="14" t="str">
        <x:v>同时报告均值与标准差</x:v>
      </x:c>
    </x:row>
  </x:sheetData>
  <x:mergeCells>
    <x:mergeCell ref="A1:H2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  <x:drawing xmlns:r="http://schemas.openxmlformats.org/officeDocument/2006/relationships" r:id="Rf7877a82024845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7" hidden="0" customWidth="1"/>
    <x:col min="4" max="4" width="7" hidden="0" customWidth="1"/>
    <x:col min="5" max="5" width="16" hidden="0" customWidth="1"/>
    <x:col min="6" max="6" width="10" hidden="0" customWidth="1"/>
    <x:col min="7" max="7" width="9" hidden="0" customWidth="1"/>
    <x:col min="8" max="8" width="9" hidden="0" customWidth="1"/>
    <x:col min="9" max="9" width="7" hidden="0" customWidth="1"/>
    <x:col min="10" max="10" width="15" hidden="0" customWidth="1"/>
    <x:col min="11" max="11" width="13" hidden="0" customWidth="1"/>
    <x:col min="12" max="12" width="10" hidden="0" customWidth="1"/>
    <x:col min="13" max="13" width="10" hidden="0" customWidth="1"/>
    <x:col min="14" max="14" width="13" hidden="0" customWidth="1"/>
    <x:col min="15" max="15" width="12" hidden="0" customWidth="1"/>
    <x:col min="16" max="16" width="12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9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8" hidden="0" customWidth="1"/>
    <x:col min="29" max="29" width="10" hidden="0" customWidth="1"/>
    <x:col min="30" max="30" width="34" hidden="0" customWidth="1"/>
    <x:col min="31" max="31" width="36" hidden="0" customWidth="1"/>
    <x:col min="32" max="32" width="58" hidden="0" customWidth="1"/>
    <x:col min="33" max="33" width="42" hidden="0" customWidth="1"/>
  </x:cols>
  <x:sheetData>
    <x:row r="1" ht="48" customHeight="1">
      <x:c r="A1" s="4" t="str">
        <x:v>56名武将详细数值与平衡评分
游戏版本 0.6｜数据来自真实场景运行时｜蓝色输入列 + 金色公式列</x:v>
      </x:c>
    </x:row>
    <x:row r="2" ht="48" customHeight="1"/>
    <x:row r="4" ht="30" customHeight="1">
      <x:c r="A4" s="10" t="str">
        <x:v>ID</x:v>
      </x:c>
      <x:c r="B4" s="10" t="str">
        <x:v>武将</x:v>
      </x:c>
      <x:c r="C4" s="10" t="str">
        <x:v>English</x:v>
      </x:c>
      <x:c r="D4" s="10" t="str">
        <x:v>阵营</x:v>
      </x:c>
      <x:c r="E4" s="10" t="str">
        <x:v>定位</x:v>
      </x:c>
      <x:c r="F4" s="10" t="str">
        <x:v>生命</x:v>
      </x:c>
      <x:c r="G4" s="10" t="str">
        <x:v>攻击</x:v>
      </x:c>
      <x:c r="H4" s="10" t="str">
        <x:v>读条秒</x:v>
      </x:c>
      <x:c r="I4" s="10" t="str">
        <x:v>射程</x:v>
      </x:c>
      <x:c r="J4" s="10" t="str">
        <x:v>技能</x:v>
      </x:c>
      <x:c r="K4" s="10" t="str">
        <x:v>技能类型</x:v>
      </x:c>
      <x:c r="L4" s="10" t="str">
        <x:v>伤害系数</x:v>
      </x:c>
      <x:c r="M4" s="10" t="str">
        <x:v>预计目标</x:v>
      </x:c>
      <x:c r="N4" s="10" t="str">
        <x:v>灼烧总伤害</x:v>
      </x:c>
      <x:c r="O4" s="10" t="str">
        <x:v>治疗等效</x:v>
      </x:c>
      <x:c r="P4" s="10" t="str">
        <x:v>护盾等效</x:v>
      </x:c>
      <x:c r="Q4" s="10" t="str">
        <x:v>控制秒</x:v>
      </x:c>
      <x:c r="R4" s="10" t="str">
        <x:v>功能点</x:v>
      </x:c>
      <x:c r="S4" s="10" t="str">
        <x:v>节奏点</x:v>
      </x:c>
      <x:c r="T4" s="10" t="str">
        <x:v>定位坦度点</x:v>
      </x:c>
      <x:c r="U4" s="10" t="str">
        <x:v>羁绊数</x:v>
      </x:c>
      <x:c r="V4" s="10" t="str">
        <x:v>生存分</x:v>
      </x:c>
      <x:c r="W4" s="10" t="str">
        <x:v>输出分</x:v>
      </x:c>
      <x:c r="X4" s="10" t="str">
        <x:v>功能分</x:v>
      </x:c>
      <x:c r="Y4" s="10" t="str">
        <x:v>节奏分</x:v>
      </x:c>
      <x:c r="Z4" s="10" t="str">
        <x:v>羁绊分</x:v>
      </x:c>
      <x:c r="AA4" s="10" t="str">
        <x:v>综合分</x:v>
      </x:c>
      <x:c r="AB4" s="10" t="str">
        <x:v>评级</x:v>
      </x:c>
      <x:c r="AC4" s="10" t="str">
        <x:v>平衡判断</x:v>
      </x:c>
      <x:c r="AD4" s="10" t="str">
        <x:v>详细评估</x:v>
      </x:c>
      <x:c r="AE4" s="10" t="str">
        <x:v>调整建议</x:v>
      </x:c>
      <x:c r="AF4" s="10" t="str">
        <x:v>完整羁绊</x:v>
      </x:c>
      <x:c r="AG4" s="10" t="str">
        <x:v>技能参数</x:v>
      </x:c>
    </x:row>
    <x:row r="5" ht="42" customHeight="1">
      <x:c r="A5" s="21" t="str">
        <x:v>chengong</x:v>
      </x:c>
      <x:c r="B5" s="21" t="str">
        <x:v>陈宫</x:v>
      </x:c>
      <x:c r="C5" s="21" t="str">
        <x:v>Chen Gong</x:v>
      </x:c>
      <x:c r="D5" s="31" t="str">
        <x:v>群</x:v>
      </x:c>
      <x:c r="E5" s="21" t="str">
        <x:v>辅助 / 战士</x:v>
      </x:c>
      <x:c r="F5" s="24" t="n">
        <x:v>760</x:v>
      </x:c>
      <x:c r="G5" s="24" t="n">
        <x:v>38</x:v>
      </x:c>
      <x:c r="H5" s="25" t="n">
        <x:v>3</x:v>
      </x:c>
      <x:c r="I5" s="21" t="n">
        <x:v>3</x:v>
      </x:c>
      <x:c r="J5" s="21" t="str">
        <x:v>智迟谋速</x:v>
      </x:c>
      <x:c r="K5" s="21" t="str">
        <x:v>buff_two</x:v>
      </x:c>
      <x:c r="L5" s="26" t="n">
        <x:v>0</x:v>
      </x:c>
      <x:c r="M5" s="26" t="n">
        <x:v>1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1" t="n">
        <x:v>60</x:v>
      </x:c>
      <x:c r="S5" s="21" t="n">
        <x:v>0.2</x:v>
      </x:c>
      <x:c r="T5" s="21" t="n">
        <x:v>8</x:v>
      </x:c>
      <x:c r="U5" s="21" t="n">
        <x:v>1</x:v>
      </x:c>
      <x:c r="V5" s="28" t="n">
        <x:f>MIN(100,F5/'评分规则'!$B$5*70+IF(I5=1,10,0)+T5+MIN(15,(O5+P5)/MAX(1,H5)/'评分规则'!$B$7*10))</x:f>
        <x:v>37.55555555555556</x:v>
      </x:c>
      <x:c r="W5" s="28" t="n">
        <x:f>MIN(100,((G5*L5*M5+N5)/MAX(1,H5))/'评分规则'!$B$6*70)</x:f>
        <x:v>0</x:v>
      </x:c>
      <x:c r="X5" s="28" t="n">
        <x:f>MIN(100,((O5+P5)/MAX(1,H5))/'评分规则'!$B$7*55+(Q5/MAX(1,H5))/'评分规则'!$B$8*45+R5)</x:f>
        <x:v>60</x:v>
      </x:c>
      <x:c r="Y5" s="28" t="n">
        <x:f>MIN(100,'评分规则'!$B$9/MAX(0.1,H5)*65+I5*7+S5)</x:f>
        <x:v>75.36666666666667</x:v>
      </x:c>
      <x:c r="Z5" s="28" t="n">
        <x:f>MIN(100,U5/'评分规则'!$B$10*75+25)</x:f>
        <x:v>50</x:v>
      </x:c>
      <x:c r="AA5" s="28" t="n">
        <x:f>V5*'评分规则'!$B$11+MAX(W5,X5)*'评分规则'!$B$12+MIN(W5,X5)*'评分规则'!$B$13+Y5*'评分规则'!$B$14+Z5*'评分规则'!$B$15</x:f>
        <x:v>56.58444444444445</x:v>
      </x:c>
      <x:c r="AB5" s="22" t="str">
        <x:f>IF(AA5&gt;=72,"S",IF(AA5&gt;=64,"A",IF(AA5&gt;=52,"B",IF(AA5&gt;=42,"C","D"))))</x:f>
        <x:v>B</x:v>
      </x:c>
      <x:c r="AC5" s="22" t="str">
        <x:f>IF(AA5&gt;='评分规则'!$B$16,"偏强",IF(AA5&lt;='评分规则'!$B$17,"偏弱","合理"))</x:f>
        <x:v>合理</x:v>
      </x:c>
      <x:c r="AD5" s="22" t="str">
        <x:f>B5&amp;"：生存"&amp;ROUND(V5,0)&amp;" / 输出"&amp;ROUND(W5,0)&amp;" / 功能"&amp;ROUND(X5,0)&amp;" / 节奏"&amp;ROUND(Y5,0)&amp;" / 羁绊"&amp;ROUND(Z5,0)&amp;"。主要优势在"&amp;IF(MAX(V5:Z5)=V5,"身板",IF(MAX(V5:Z5)=W5,"输出",IF(MAX(V5:Z5)=X5,"功能",IF(MAX(V5:Z5)=Y5,"节奏","构筑兼容"))))&amp;"。"</x:f>
        <x:v>陈宫：生存38 / 输出0 / 功能60 / 节奏75 / 羁绊50。主要优势在节奏。</x:v>
      </x:c>
      <x:c r="AE5" s="22" t="str">
        <x:f>IF(AC5="偏强","建议先下调"&amp;IF(MAX(V5:Z5)=W5,"技能系数或目标数",IF(MAX(V5:Z5)=Y5,"行动条收益或读条速度",IF(MAX(V5:Z5)=X5,"控制/治疗/护盾强度","最高分项约5%~10%")))&amp;"，再做镜像对战验证。",IF(AC5="偏弱","建议优先补足"&amp;IF(MAX(W5,X5)=W5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</x:v>
      </x:c>
      <x:c r="AG5" s="23" t="str">
        <x:v>{"action":0.15,"damage":0.15}</x:v>
      </x:c>
    </x:row>
    <x:row r="6" ht="42" customHeight="1">
      <x:c r="A6" s="21" t="str">
        <x:v>diaochan</x:v>
      </x:c>
      <x:c r="B6" s="21" t="str">
        <x:v>貂蝉</x:v>
      </x:c>
      <x:c r="C6" s="21" t="str">
        <x:v>Diao Chan</x:v>
      </x:c>
      <x:c r="D6" s="31" t="str">
        <x:v>群</x:v>
      </x:c>
      <x:c r="E6" s="21" t="str">
        <x:v>控制 / 辅助</x:v>
      </x:c>
      <x:c r="F6" s="24" t="n">
        <x:v>840</x:v>
      </x:c>
      <x:c r="G6" s="24" t="n">
        <x:v>32</x:v>
      </x:c>
      <x:c r="H6" s="25" t="n">
        <x:v>4</x:v>
      </x:c>
      <x:c r="I6" s="21" t="n">
        <x:v>3</x:v>
      </x:c>
      <x:c r="J6" s="21" t="str">
        <x:v>美人离间</x:v>
      </x:c>
      <x:c r="K6" s="21" t="str">
        <x:v>专属实现</x:v>
      </x:c>
      <x:c r="L6" s="26" t="n">
        <x:v>0</x:v>
      </x:c>
      <x:c r="M6" s="26" t="n">
        <x:v>1</x:v>
      </x:c>
      <x:c r="N6" s="27" t="n">
        <x:v>0</x:v>
      </x:c>
      <x:c r="O6" s="27" t="n">
        <x:v>0</x:v>
      </x:c>
      <x:c r="P6" s="27" t="n">
        <x:v>0</x:v>
      </x:c>
      <x:c r="Q6" s="27" t="n">
        <x:v>1.5</x:v>
      </x:c>
      <x:c r="R6" s="21" t="n">
        <x:v>10</x:v>
      </x:c>
      <x:c r="S6" s="21" t="n">
        <x:v>0</x:v>
      </x:c>
      <x:c r="T6" s="21" t="n">
        <x:v>0</x:v>
      </x:c>
      <x:c r="U6" s="21" t="n">
        <x:v>2</x:v>
      </x:c>
      <x:c r="V6" s="28" t="n">
        <x:f>MIN(100,F6/'评分规则'!$B$5*70+IF(I6=1,10,0)+T6+MIN(15,(O6+P6)/MAX(1,H6)/'评分规则'!$B$7*10))</x:f>
        <x:v>32.666666666666664</x:v>
      </x:c>
      <x:c r="W6" s="28" t="n">
        <x:f>MIN(100,((G6*L6*M6+N6)/MAX(1,H6))/'评分规则'!$B$6*70)</x:f>
        <x:v>0</x:v>
      </x:c>
      <x:c r="X6" s="28" t="n">
        <x:f>MIN(100,((O6+P6)/MAX(1,H6))/'评分规则'!$B$7*55+(Q6/MAX(1,H6))/'评分规则'!$B$8*45+R6)</x:f>
        <x:v>43.75</x:v>
      </x:c>
      <x:c r="Y6" s="28" t="n">
        <x:f>MIN(100,'评分规则'!$B$9/MAX(0.1,H6)*65+I6*7+S6)</x:f>
        <x:v>61.625</x:v>
      </x:c>
      <x:c r="Z6" s="28" t="n">
        <x:f>MIN(100,U6/'评分规则'!$B$10*75+25)</x:f>
        <x:v>75</x:v>
      </x:c>
      <x:c r="AA6" s="28" t="n">
        <x:f>V6*'评分规则'!$B$11+MAX(W6,X6)*'评分规则'!$B$12+MIN(W6,X6)*'评分规则'!$B$13+Y6*'评分规则'!$B$14+Z6*'评分规则'!$B$15</x:f>
        <x:v>51.358333333333334</x:v>
      </x:c>
      <x:c r="AB6" s="22" t="str">
        <x:f>IF(AA6&gt;=72,"S",IF(AA6&gt;=64,"A",IF(AA6&gt;=52,"B",IF(AA6&gt;=42,"C","D"))))</x:f>
        <x:v>C</x:v>
      </x:c>
      <x:c r="AC6" s="22" t="str">
        <x:f>IF(AA6&gt;='评分规则'!$B$16,"偏强",IF(AA6&lt;='评分规则'!$B$17,"偏弱","合理"))</x:f>
        <x:v>合理</x:v>
      </x:c>
      <x:c r="AD6" s="22" t="str">
        <x:f>B6&amp;"：生存"&amp;ROUND(V6,0)&amp;" / 输出"&amp;ROUND(W6,0)&amp;" / 功能"&amp;ROUND(X6,0)&amp;" / 节奏"&amp;ROUND(Y6,0)&amp;" / 羁绊"&amp;ROUND(Z6,0)&amp;"。主要优势在"&amp;IF(MAX(V6:Z6)=V6,"身板",IF(MAX(V6:Z6)=W6,"输出",IF(MAX(V6:Z6)=X6,"功能",IF(MAX(V6:Z6)=Y6,"节奏","构筑兼容"))))&amp;"。"</x:f>
        <x:v>貂蝉：生存33 / 输出0 / 功能44 / 节奏62 / 羁绊75。主要优势在构筑兼容。</x:v>
      </x:c>
      <x:c r="AE6" s="22" t="str">
        <x:f>IF(AC6="偏强","建议先下调"&amp;IF(MAX(V6:Z6)=W6,"技能系数或目标数",IF(MAX(V6:Z6)=Y6,"行动条收益或读条速度",IF(MAX(V6:Z6)=X6,"控制/治疗/护盾强度","最高分项约5%~10%")))&amp;"，再做镜像对战验证。",IF(AC6="偏弱","建议优先补足"&amp;IF(MAX(W6,X6)=W6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6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鬼神权倾（吕布、貂蝉、董卓）：魅惑持续时间提高50%，由1.5秒变为2.25秒。</x:v>
      </x:c>
      <x:c r="AG6" s="23" t="str">
        <x:v>{"base_value":32}</x:v>
      </x:c>
    </x:row>
    <x:row r="7" ht="42" customHeight="1">
      <x:c r="A7" s="21" t="str">
        <x:v>dongzhuo</x:v>
      </x:c>
      <x:c r="B7" s="21" t="str">
        <x:v>董卓</x:v>
      </x:c>
      <x:c r="C7" s="21" t="str">
        <x:v>Dong Zhuo</x:v>
      </x:c>
      <x:c r="D7" s="31" t="str">
        <x:v>群</x:v>
      </x:c>
      <x:c r="E7" s="21" t="str">
        <x:v>战士 / 坦克</x:v>
      </x:c>
      <x:c r="F7" s="24" t="n">
        <x:v>1560</x:v>
      </x:c>
      <x:c r="G7" s="24" t="n">
        <x:v>52</x:v>
      </x:c>
      <x:c r="H7" s="25" t="n">
        <x:v>3</x:v>
      </x:c>
      <x:c r="I7" s="21" t="n">
        <x:v>2</x:v>
      </x:c>
      <x:c r="J7" s="21" t="str">
        <x:v>暴君横征</x:v>
      </x:c>
      <x:c r="K7" s="21" t="str">
        <x:v>专属实现</x:v>
      </x:c>
      <x:c r="L7" s="26" t="n">
        <x:v>2.8</x:v>
      </x:c>
      <x:c r="M7" s="26" t="n">
        <x:v>1</x:v>
      </x:c>
      <x:c r="N7" s="27" t="n">
        <x:v>0</x:v>
      </x:c>
      <x:c r="O7" s="27" t="n">
        <x:v>0</x:v>
      </x:c>
      <x:c r="P7" s="27" t="n">
        <x:v>0</x:v>
      </x:c>
      <x:c r="Q7" s="27" t="n">
        <x:v>0</x:v>
      </x:c>
      <x:c r="R7" s="21" t="n">
        <x:v>0</x:v>
      </x:c>
      <x:c r="S7" s="21" t="n">
        <x:v>0</x:v>
      </x:c>
      <x:c r="T7" s="21" t="n">
        <x:v>20</x:v>
      </x:c>
      <x:c r="U7" s="21" t="n">
        <x:v>2</x:v>
      </x:c>
      <x:c r="V7" s="28" t="n">
        <x:f>MIN(100,F7/'评分规则'!$B$5*70+IF(I7=1,10,0)+T7+MIN(15,(O7+P7)/MAX(1,H7)/'评分规则'!$B$7*10))</x:f>
        <x:v>80.66666666666667</x:v>
      </x:c>
      <x:c r="W7" s="28" t="n">
        <x:f>MIN(100,((G7*L7*M7+N7)/MAX(1,H7))/'评分规则'!$B$6*70)</x:f>
        <x:v>37.74814814814815</x:v>
      </x:c>
      <x:c r="X7" s="28" t="n">
        <x:f>MIN(100,((O7+P7)/MAX(1,H7))/'评分规则'!$B$7*55+(Q7/MAX(1,H7))/'评分规则'!$B$8*45+R7)</x:f>
        <x:v>0</x:v>
      </x:c>
      <x:c r="Y7" s="28" t="n">
        <x:f>MIN(100,'评分规则'!$B$9/MAX(0.1,H7)*65+I7*7+S7)</x:f>
        <x:v>68.16666666666667</x:v>
      </x:c>
      <x:c r="Z7" s="28" t="n">
        <x:f>MIN(100,U7/'评分规则'!$B$10*75+25)</x:f>
        <x:v>75</x:v>
      </x:c>
      <x:c r="AA7" s="28" t="n">
        <x:f>V7*'评分规则'!$B$11+MAX(W7,X7)*'评分规则'!$B$12+MIN(W7,X7)*'评分规则'!$B$13+Y7*'评分规则'!$B$14+Z7*'评分规则'!$B$15</x:f>
        <x:v>59.86592592592593</x:v>
      </x:c>
      <x:c r="AB7" s="22" t="str">
        <x:f>IF(AA7&gt;=72,"S",IF(AA7&gt;=64,"A",IF(AA7&gt;=52,"B",IF(AA7&gt;=42,"C","D"))))</x:f>
        <x:v>B</x:v>
      </x:c>
      <x:c r="AC7" s="22" t="str">
        <x:f>IF(AA7&gt;='评分规则'!$B$16,"偏强",IF(AA7&lt;='评分规则'!$B$17,"偏弱","合理"))</x:f>
        <x:v>合理</x:v>
      </x:c>
      <x:c r="AD7" s="22" t="str">
        <x:f>B7&amp;"：生存"&amp;ROUND(V7,0)&amp;" / 输出"&amp;ROUND(W7,0)&amp;" / 功能"&amp;ROUND(X7,0)&amp;" / 节奏"&amp;ROUND(Y7,0)&amp;" / 羁绊"&amp;ROUND(Z7,0)&amp;"。主要优势在"&amp;IF(MAX(V7:Z7)=V7,"身板",IF(MAX(V7:Z7)=W7,"输出",IF(MAX(V7:Z7)=X7,"功能",IF(MAX(V7:Z7)=Y7,"节奏","构筑兼容"))))&amp;"。"</x:f>
        <x:v>董卓：生存81 / 输出38 / 功能0 / 节奏68 / 羁绊75。主要优势在身板。</x:v>
      </x:c>
      <x:c r="AE7" s="22" t="str">
        <x:f>IF(AC7="偏强","建议先下调"&amp;IF(MAX(V7:Z7)=W7,"技能系数或目标数",IF(MAX(V7:Z7)=Y7,"行动条收益或读条速度",IF(MAX(V7:Z7)=X7,"控制/治疗/护盾强度","最高分项约5%~10%")))&amp;"，再做镜像对战验证。",IF(AC7="偏弱","建议优先补足"&amp;IF(MAX(W7,X7)=W7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7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鬼神权倾（吕布、貂蝉、董卓）：当前生命追加比例由6%提高至12%，并在开场获得2秒致死保护。</x:v>
      </x:c>
      <x:c r="AG7" s="23" t="str">
        <x:v>{"base_value":52}</x:v>
      </x:c>
    </x:row>
    <x:row r="8" ht="42" customHeight="1">
      <x:c r="A8" s="21" t="str">
        <x:v>gaolan</x:v>
      </x:c>
      <x:c r="B8" s="21" t="str">
        <x:v>高览</x:v>
      </x:c>
      <x:c r="C8" s="21" t="str">
        <x:v>Gao Lan</x:v>
      </x:c>
      <x:c r="D8" s="31" t="str">
        <x:v>群</x:v>
      </x:c>
      <x:c r="E8" s="21" t="str">
        <x:v>辅助 / 法师</x:v>
      </x:c>
      <x:c r="F8" s="24" t="n">
        <x:v>980</x:v>
      </x:c>
      <x:c r="G8" s="24" t="n">
        <x:v>38</x:v>
      </x:c>
      <x:c r="H8" s="25" t="n">
        <x:v>3</x:v>
      </x:c>
      <x:c r="I8" s="21" t="n">
        <x:v>3</x:v>
      </x:c>
      <x:c r="J8" s="21" t="str">
        <x:v>法刃加持</x:v>
      </x:c>
      <x:c r="K8" s="21" t="str">
        <x:v>buff_row_melee</x:v>
      </x:c>
      <x:c r="L8" s="26" t="n">
        <x:v>0</x:v>
      </x:c>
      <x:c r="M8" s="26" t="n">
        <x:v>1</x:v>
      </x:c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1" t="n">
        <x:v>65</x:v>
      </x:c>
      <x:c r="S8" s="21" t="n">
        <x:v>0</x:v>
      </x:c>
      <x:c r="T8" s="21" t="n">
        <x:v>0</x:v>
      </x:c>
      <x:c r="U8" s="21" t="n">
        <x:v>2</x:v>
      </x:c>
      <x:c r="V8" s="28" t="n">
        <x:f>MIN(100,F8/'评分规则'!$B$5*70+IF(I8=1,10,0)+T8+MIN(15,(O8+P8)/MAX(1,H8)/'评分规则'!$B$7*10))</x:f>
        <x:v>38.11111111111111</x:v>
      </x:c>
      <x:c r="W8" s="28" t="n">
        <x:f>MIN(100,((G8*L8*M8+N8)/MAX(1,H8))/'评分规则'!$B$6*70)</x:f>
        <x:v>0</x:v>
      </x:c>
      <x:c r="X8" s="28" t="n">
        <x:f>MIN(100,((O8+P8)/MAX(1,H8))/'评分规则'!$B$7*55+(Q8/MAX(1,H8))/'评分规则'!$B$8*45+R8)</x:f>
        <x:v>65</x:v>
      </x:c>
      <x:c r="Y8" s="28" t="n">
        <x:f>MIN(100,'评分规则'!$B$9/MAX(0.1,H8)*65+I8*7+S8)</x:f>
        <x:v>75.16666666666667</x:v>
      </x:c>
      <x:c r="Z8" s="28" t="n">
        <x:f>MIN(100,U8/'评分规则'!$B$10*75+25)</x:f>
        <x:v>75</x:v>
      </x:c>
      <x:c r="AA8" s="28" t="n">
        <x:f>V8*'评分规则'!$B$11+MAX(W8,X8)*'评分规则'!$B$12+MIN(W8,X8)*'评分规则'!$B$13+Y8*'评分规则'!$B$14+Z8*'评分规则'!$B$15</x:f>
        <x:v>63.65555555555555</x:v>
      </x:c>
      <x:c r="AB8" s="22" t="str">
        <x:f>IF(AA8&gt;=72,"S",IF(AA8&gt;=64,"A",IF(AA8&gt;=52,"B",IF(AA8&gt;=42,"C","D"))))</x:f>
        <x:v>B</x:v>
      </x:c>
      <x:c r="AC8" s="22" t="str">
        <x:f>IF(AA8&gt;='评分规则'!$B$16,"偏强",IF(AA8&lt;='评分规则'!$B$17,"偏弱","合理"))</x:f>
        <x:v>合理</x:v>
      </x:c>
      <x:c r="AD8" s="22" t="str">
        <x:f>B8&amp;"：生存"&amp;ROUND(V8,0)&amp;" / 输出"&amp;ROUND(W8,0)&amp;" / 功能"&amp;ROUND(X8,0)&amp;" / 节奏"&amp;ROUND(Y8,0)&amp;" / 羁绊"&amp;ROUND(Z8,0)&amp;"。主要优势在"&amp;IF(MAX(V8:Z8)=V8,"身板",IF(MAX(V8:Z8)=W8,"输出",IF(MAX(V8:Z8)=X8,"功能",IF(MAX(V8:Z8)=Y8,"节奏","构筑兼容"))))&amp;"。"</x:f>
        <x:v>高览：生存38 / 输出0 / 功能65 / 节奏75 / 羁绊75。主要优势在节奏。</x:v>
      </x:c>
      <x:c r="AE8" s="22" t="str">
        <x:f>IF(AC8="偏强","建议先下调"&amp;IF(MAX(V8:Z8)=W8,"技能系数或目标数",IF(MAX(V8:Z8)=Y8,"行动条收益或读条速度",IF(MAX(V8:Z8)=X8,"控制/治疗/护盾强度","最高分项约5%~10%")))&amp;"，再做镜像对战验证。",IF(AC8="偏弱","建议优先补足"&amp;IF(MAX(W8,X8)=W8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8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河北四庭柱（颜良、文丑、群张郃、高览）：开场获得1层紫幕，抵挡下一次主动技能。</x:v>
      </x:c>
      <x:c r="AG8" s="23" t="str">
        <x:v>{"damage":0.2}</x:v>
      </x:c>
    </x:row>
    <x:row r="9" ht="42" customHeight="1">
      <x:c r="A9" s="21" t="str">
        <x:v>gaoshun</x:v>
      </x:c>
      <x:c r="B9" s="21" t="str">
        <x:v>高顺</x:v>
      </x:c>
      <x:c r="C9" s="21" t="str">
        <x:v>Gao Shun</x:v>
      </x:c>
      <x:c r="D9" s="31" t="str">
        <x:v>群</x:v>
      </x:c>
      <x:c r="E9" s="21" t="str">
        <x:v>坦克 / 辅助</x:v>
      </x:c>
      <x:c r="F9" s="24" t="n">
        <x:v>1460</x:v>
      </x:c>
      <x:c r="G9" s="24" t="n">
        <x:v>44</x:v>
      </x:c>
      <x:c r="H9" s="25" t="n">
        <x:v>3.4</x:v>
      </x:c>
      <x:c r="I9" s="21" t="n">
        <x:v>1</x:v>
      </x:c>
      <x:c r="J9" s="21" t="str">
        <x:v>陷阵营</x:v>
      </x:c>
      <x:c r="K9" s="21" t="str">
        <x:v>shield_row</x:v>
      </x:c>
      <x:c r="L9" s="26" t="n">
        <x:v>0</x:v>
      </x:c>
      <x:c r="M9" s="26" t="n">
        <x:v>1</x:v>
      </x:c>
      <x:c r="N9" s="27" t="n">
        <x:v>0</x:v>
      </x:c>
      <x:c r="O9" s="27" t="n">
        <x:v>0</x:v>
      </x:c>
      <x:c r="P9" s="27" t="n">
        <x:v>207</x:v>
      </x:c>
      <x:c r="Q9" s="27" t="n">
        <x:v>0</x:v>
      </x:c>
      <x:c r="R9" s="21" t="n">
        <x:v>0</x:v>
      </x:c>
      <x:c r="S9" s="21" t="n">
        <x:v>0</x:v>
      </x:c>
      <x:c r="T9" s="21" t="n">
        <x:v>20</x:v>
      </x:c>
      <x:c r="U9" s="21" t="n">
        <x:v>1</x:v>
      </x:c>
      <x:c r="V9" s="28" t="n">
        <x:f>MIN(100,F9/'评分规则'!$B$5*70+IF(I9=1,10,0)+T9+MIN(15,(O9+P9)/MAX(1,H9)/'评分规则'!$B$7*10))</x:f>
        <x:v>90.58292483660131</x:v>
      </x:c>
      <x:c r="W9" s="28" t="n">
        <x:f>MIN(100,((G9*L9*M9+N9)/MAX(1,H9))/'评分规则'!$B$6*70)</x:f>
        <x:v>0</x:v>
      </x:c>
      <x:c r="X9" s="28" t="n">
        <x:f>MIN(100,((O9+P9)/MAX(1,H9))/'评分规则'!$B$7*55+(Q9/MAX(1,H9))/'评分规则'!$B$8*45+R9)</x:f>
        <x:v>20.92830882352941</x:v>
      </x:c>
      <x:c r="Y9" s="28" t="n">
        <x:f>MIN(100,'评分规则'!$B$9/MAX(0.1,H9)*65+I9*7+S9)</x:f>
        <x:v>54.794117647058826</x:v>
      </x:c>
      <x:c r="Z9" s="28" t="n">
        <x:f>MIN(100,U9/'评分规则'!$B$10*75+25)</x:f>
        <x:v>50</x:v>
      </x:c>
      <x:c r="AA9" s="28" t="n">
        <x:f>V9*'评分规则'!$B$11+MAX(W9,X9)*'评分规则'!$B$12+MIN(W9,X9)*'评分规则'!$B$13+Y9*'评分规则'!$B$14+Z9*'评分规则'!$B$15</x:f>
        <x:v>47.44673202614379</x:v>
      </x:c>
      <x:c r="AB9" s="22" t="str">
        <x:f>IF(AA9&gt;=72,"S",IF(AA9&gt;=64,"A",IF(AA9&gt;=52,"B",IF(AA9&gt;=42,"C","D"))))</x:f>
        <x:v>C</x:v>
      </x:c>
      <x:c r="AC9" s="22" t="str">
        <x:f>IF(AA9&gt;='评分规则'!$B$16,"偏强",IF(AA9&lt;='评分规则'!$B$17,"偏弱","合理"))</x:f>
        <x:v>合理</x:v>
      </x:c>
      <x:c r="AD9" s="22" t="str">
        <x:f>B9&amp;"：生存"&amp;ROUND(V9,0)&amp;" / 输出"&amp;ROUND(W9,0)&amp;" / 功能"&amp;ROUND(X9,0)&amp;" / 节奏"&amp;ROUND(Y9,0)&amp;" / 羁绊"&amp;ROUND(Z9,0)&amp;"。主要优势在"&amp;IF(MAX(V9:Z9)=V9,"身板",IF(MAX(V9:Z9)=W9,"输出",IF(MAX(V9:Z9)=X9,"功能",IF(MAX(V9:Z9)=Y9,"节奏","构筑兼容"))))&amp;"。"</x:f>
        <x:v>高顺：生存91 / 输出0 / 功能21 / 节奏55 / 羁绊50。主要优势在身板。</x:v>
      </x:c>
      <x:c r="AE9" s="22" t="str">
        <x:f>IF(AC9="偏强","建议先下调"&amp;IF(MAX(V9:Z9)=W9,"技能系数或目标数",IF(MAX(V9:Z9)=Y9,"行动条收益或读条速度",IF(MAX(V9:Z9)=X9,"控制/治疗/护盾强度","最高分项约5%~10%")))&amp;"，再做镜像对战验证。",IF(AC9="偏弱","建议优先补足"&amp;IF(MAX(W9,X9)=W9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9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</x:v>
      </x:c>
      <x:c r="AG9" s="23" t="str">
        <x:v>{"base_shield":69,"flat":25,"mult":1}</x:v>
      </x:c>
    </x:row>
    <x:row r="10" ht="42" customHeight="1">
      <x:c r="A10" s="21" t="str">
        <x:v>huatuo</x:v>
      </x:c>
      <x:c r="B10" s="21" t="str">
        <x:v>华佗</x:v>
      </x:c>
      <x:c r="C10" s="21" t="str">
        <x:v>Hua Tuo</x:v>
      </x:c>
      <x:c r="D10" s="31" t="str">
        <x:v>群</x:v>
      </x:c>
      <x:c r="E10" s="21" t="str">
        <x:v>治疗 / 辅助</x:v>
      </x:c>
      <x:c r="F10" s="24" t="n">
        <x:v>760</x:v>
      </x:c>
      <x:c r="G10" s="24" t="n">
        <x:v>32</x:v>
      </x:c>
      <x:c r="H10" s="25" t="n">
        <x:v>3.8</x:v>
      </x:c>
      <x:c r="I10" s="21" t="n">
        <x:v>3</x:v>
      </x:c>
      <x:c r="J10" s="21" t="str">
        <x:v>青囊济世</x:v>
      </x:c>
      <x:c r="K10" s="21" t="str">
        <x:v>heal_team</x:v>
      </x:c>
      <x:c r="L10" s="26" t="n">
        <x:v>0</x:v>
      </x:c>
      <x:c r="M10" s="26" t="n">
        <x:v>1</x:v>
      </x:c>
      <x:c r="N10" s="27" t="n">
        <x:v>0</x:v>
      </x:c>
      <x:c r="O10" s="27" t="n">
        <x:v>700</x:v>
      </x:c>
      <x:c r="P10" s="27" t="n">
        <x:v>0</x:v>
      </x:c>
      <x:c r="Q10" s="27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1</x:v>
      </x:c>
      <x:c r="V10" s="28" t="n">
        <x:f>MIN(100,F10/'评分规则'!$B$5*70+IF(I10=1,10,0)+T10+MIN(15,(O10+P10)/MAX(1,H10)/'评分规则'!$B$7*10))</x:f>
        <x:v>41.0687134502924</x:v>
      </x:c>
      <x:c r="W10" s="28" t="n">
        <x:f>MIN(100,((G10*L10*M10+N10)/MAX(1,H10))/'评分规则'!$B$6*70)</x:f>
        <x:v>0</x:v>
      </x:c>
      <x:c r="X10" s="28" t="n">
        <x:f>MIN(100,((O10+P10)/MAX(1,H10))/'评分规则'!$B$7*55+(Q10/MAX(1,H10))/'评分规则'!$B$8*45+R10)</x:f>
        <x:v>63.32236842105264</x:v>
      </x:c>
      <x:c r="Y10" s="28" t="n">
        <x:f>MIN(100,'评分规则'!$B$9/MAX(0.1,H10)*65+I10*7+S10)</x:f>
        <x:v>63.76315789473684</x:v>
      </x:c>
      <x:c r="Z10" s="28" t="n">
        <x:f>MIN(100,U10/'评分规则'!$B$10*75+25)</x:f>
        <x:v>50</x:v>
      </x:c>
      <x:c r="AA10" s="28" t="n">
        <x:f>V10*'评分规则'!$B$11+MAX(W10,X10)*'评分规则'!$B$12+MIN(W10,X10)*'评分规则'!$B$13+Y10*'评分规则'!$B$14+Z10*'评分规则'!$B$15</x:f>
        <x:v>56.29532163742691</x:v>
      </x:c>
      <x:c r="AB10" s="22" t="str">
        <x:f>IF(AA10&gt;=72,"S",IF(AA10&gt;=64,"A",IF(AA10&gt;=52,"B",IF(AA10&gt;=42,"C","D"))))</x:f>
        <x:v>B</x:v>
      </x:c>
      <x:c r="AC10" s="22" t="str">
        <x:f>IF(AA10&gt;='评分规则'!$B$16,"偏强",IF(AA10&lt;='评分规则'!$B$17,"偏弱","合理"))</x:f>
        <x:v>合理</x:v>
      </x:c>
      <x:c r="AD10" s="22" t="str">
        <x:f>B10&amp;"：生存"&amp;ROUND(V10,0)&amp;" / 输出"&amp;ROUND(W10,0)&amp;" / 功能"&amp;ROUND(X10,0)&amp;" / 节奏"&amp;ROUND(Y10,0)&amp;" / 羁绊"&amp;ROUND(Z10,0)&amp;"。主要优势在"&amp;IF(MAX(V10:Z10)=V10,"身板",IF(MAX(V10:Z10)=W10,"输出",IF(MAX(V10:Z10)=X10,"功能",IF(MAX(V10:Z10)=Y10,"节奏","构筑兼容"))))&amp;"。"</x:f>
        <x:v>华佗：生存41 / 输出0 / 功能63 / 节奏64 / 羁绊50。主要优势在节奏。</x:v>
      </x:c>
      <x:c r="AE10" s="22" t="str">
        <x:f>IF(AC10="偏强","建议先下调"&amp;IF(MAX(V10:Z10)=W10,"技能系数或目标数",IF(MAX(V10:Z10)=Y10,"行动条收益或读条速度",IF(MAX(V10:Z10)=X10,"控制/治疗/护盾强度","最高分项约5%~10%")))&amp;"，再做镜像对战验证。",IF(AC10="偏弱","建议优先补足"&amp;IF(MAX(W10,X10)=W10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10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</x:v>
      </x:c>
      <x:c r="AG10" s="23" t="str">
        <x:v>{"base_heal":32,"ratio":0.1}</x:v>
      </x:c>
    </x:row>
    <x:row r="11" ht="42" customHeight="1">
      <x:c r="A11" s="21" t="str">
        <x:v>lvbu</x:v>
      </x:c>
      <x:c r="B11" s="21" t="str">
        <x:v>吕布</x:v>
      </x:c>
      <x:c r="C11" s="21" t="str">
        <x:v>Lu Bu</x:v>
      </x:c>
      <x:c r="D11" s="31" t="str">
        <x:v>群</x:v>
      </x:c>
      <x:c r="E11" s="21" t="str">
        <x:v>战士 / 收割</x:v>
      </x:c>
      <x:c r="F11" s="24" t="n">
        <x:v>1560</x:v>
      </x:c>
      <x:c r="G11" s="24" t="n">
        <x:v>70</x:v>
      </x:c>
      <x:c r="H11" s="25" t="n">
        <x:v>3</x:v>
      </x:c>
      <x:c r="I11" s="21" t="n">
        <x:v>2</x:v>
      </x:c>
      <x:c r="J11" s="21" t="str">
        <x:v>无双横扫</x:v>
      </x:c>
      <x:c r="K11" s="21" t="str">
        <x:v>专属实现</x:v>
      </x:c>
      <x:c r="L11" s="26" t="n">
        <x:v>1.6</x:v>
      </x:c>
      <x:c r="M11" s="26" t="n">
        <x:v>2.2</x:v>
      </x:c>
      <x:c r="N11" s="27" t="n">
        <x:v>0</x:v>
      </x:c>
      <x:c r="O11" s="27" t="n">
        <x:v>0</x:v>
      </x:c>
      <x:c r="P11" s="27" t="n">
        <x:v>0</x:v>
      </x:c>
      <x:c r="Q11" s="27" t="n">
        <x:v>0</x:v>
      </x:c>
      <x:c r="R11" s="21" t="n">
        <x:v>0</x:v>
      </x:c>
      <x:c r="S11" s="21" t="n">
        <x:v>0</x:v>
      </x:c>
      <x:c r="T11" s="21" t="n">
        <x:v>8</x:v>
      </x:c>
      <x:c r="U11" s="21" t="n">
        <x:v>2</x:v>
      </x:c>
      <x:c r="V11" s="28" t="n">
        <x:f>MIN(100,F11/'评分规则'!$B$5*70+IF(I11=1,10,0)+T11+MIN(15,(O11+P11)/MAX(1,H11)/'评分规则'!$B$7*10))</x:f>
        <x:v>68.66666666666667</x:v>
      </x:c>
      <x:c r="W11" s="28" t="n">
        <x:f>MIN(100,((G11*L11*M11+N11)/MAX(1,H11))/'评分规则'!$B$6*70)</x:f>
        <x:v>63.88148148148149</x:v>
      </x:c>
      <x:c r="X11" s="28" t="n">
        <x:f>MIN(100,((O11+P11)/MAX(1,H11))/'评分规则'!$B$7*55+(Q11/MAX(1,H11))/'评分规则'!$B$8*45+R11)</x:f>
        <x:v>0</x:v>
      </x:c>
      <x:c r="Y11" s="28" t="n">
        <x:f>MIN(100,'评分规则'!$B$9/MAX(0.1,H11)*65+I11*7+S11)</x:f>
        <x:v>68.16666666666667</x:v>
      </x:c>
      <x:c r="Z11" s="28" t="n">
        <x:f>MIN(100,U11/'评分规则'!$B$10*75+25)</x:f>
        <x:v>75</x:v>
      </x:c>
      <x:c r="AA11" s="28" t="n">
        <x:f>V11*'评分规则'!$B$11+MAX(W11,X11)*'评分规则'!$B$12+MIN(W11,X11)*'评分规则'!$B$13+Y11*'评分规则'!$B$14+Z11*'评分规则'!$B$15</x:f>
        <x:v>67.91925925925926</x:v>
      </x:c>
      <x:c r="AB11" s="22" t="str">
        <x:f>IF(AA11&gt;=72,"S",IF(AA11&gt;=64,"A",IF(AA11&gt;=52,"B",IF(AA11&gt;=42,"C","D"))))</x:f>
        <x:v>A</x:v>
      </x:c>
      <x:c r="AC11" s="22" t="str">
        <x:f>IF(AA11&gt;='评分规则'!$B$16,"偏强",IF(AA11&lt;='评分规则'!$B$17,"偏弱","合理"))</x:f>
        <x:v>合理</x:v>
      </x:c>
      <x:c r="AD11" s="22" t="str">
        <x:f>B11&amp;"：生存"&amp;ROUND(V11,0)&amp;" / 输出"&amp;ROUND(W11,0)&amp;" / 功能"&amp;ROUND(X11,0)&amp;" / 节奏"&amp;ROUND(Y11,0)&amp;" / 羁绊"&amp;ROUND(Z11,0)&amp;"。主要优势在"&amp;IF(MAX(V11:Z11)=V11,"身板",IF(MAX(V11:Z11)=W11,"输出",IF(MAX(V11:Z11)=X11,"功能",IF(MAX(V11:Z11)=Y11,"节奏","构筑兼容"))))&amp;"。"</x:f>
        <x:v>吕布：生存69 / 输出64 / 功能0 / 节奏68 / 羁绊75。主要优势在构筑兼容。</x:v>
      </x:c>
      <x:c r="AE11" s="22" t="str">
        <x:f>IF(AC11="偏强","建议先下调"&amp;IF(MAX(V11:Z11)=W11,"技能系数或目标数",IF(MAX(V11:Z11)=Y11,"行动条收益或读条速度",IF(MAX(V11:Z11)=X11,"控制/治疗/护盾强度","最高分项约5%~10%")))&amp;"，再做镜像对战验证。",IF(AC11="偏弱","建议优先补足"&amp;IF(MAX(W11,X11)=W11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11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鬼神权倾（吕布、貂蝉、董卓）：释放无双横扫后获得4秒致死保护。</x:v>
      </x:c>
      <x:c r="AG11" s="23" t="str">
        <x:v>{"base_value":70}</x:v>
      </x:c>
    </x:row>
    <x:row r="12" ht="42" customHeight="1">
      <x:c r="A12" s="21" t="str">
        <x:v>qunzhanghe</x:v>
      </x:c>
      <x:c r="B12" s="21" t="str">
        <x:v>群张郃</x:v>
      </x:c>
      <x:c r="C12" s="21" t="str">
        <x:v>Zhang He (Qun)</x:v>
      </x:c>
      <x:c r="D12" s="31" t="str">
        <x:v>群</x:v>
      </x:c>
      <x:c r="E12" s="21" t="str">
        <x:v>辅助 / 坦克</x:v>
      </x:c>
      <x:c r="F12" s="24" t="n">
        <x:v>1200</x:v>
      </x:c>
      <x:c r="G12" s="24" t="n">
        <x:v>41</x:v>
      </x:c>
      <x:c r="H12" s="25" t="n">
        <x:v>3.2</x:v>
      </x:c>
      <x:c r="I12" s="21" t="n">
        <x:v>1</x:v>
      </x:c>
      <x:c r="J12" s="21" t="str">
        <x:v>紫盾</x:v>
      </x:c>
      <x:c r="K12" s="21" t="str">
        <x:v>shield_column</x:v>
      </x:c>
      <x:c r="L12" s="26" t="n">
        <x:v>0</x:v>
      </x:c>
      <x:c r="M12" s="26" t="n">
        <x:v>1</x:v>
      </x:c>
      <x:c r="N12" s="27" t="n">
        <x:v>0</x:v>
      </x:c>
      <x:c r="O12" s="27" t="n">
        <x:v>0</x:v>
      </x:c>
      <x:c r="P12" s="27" t="n">
        <x:v>153</x:v>
      </x:c>
      <x:c r="Q12" s="27" t="n">
        <x:v>0</x:v>
      </x:c>
      <x:c r="R12" s="21" t="n">
        <x:v>10</x:v>
      </x:c>
      <x:c r="S12" s="21" t="n">
        <x:v>0</x:v>
      </x:c>
      <x:c r="T12" s="21" t="n">
        <x:v>20</x:v>
      </x:c>
      <x:c r="U12" s="21" t="n">
        <x:v>2</x:v>
      </x:c>
      <x:c r="V12" s="28" t="n">
        <x:f>MIN(100,F12/'评分规则'!$B$5*70+IF(I12=1,10,0)+T12+MIN(15,(O12+P12)/MAX(1,H12)/'评分规则'!$B$7*10))</x:f>
        <x:v>79.65494791666666</x:v>
      </x:c>
      <x:c r="W12" s="28" t="n">
        <x:f>MIN(100,((G12*L12*M12+N12)/MAX(1,H12))/'评分规则'!$B$6*70)</x:f>
        <x:v>0</x:v>
      </x:c>
      <x:c r="X12" s="28" t="n">
        <x:f>MIN(100,((O12+P12)/MAX(1,H12))/'评分规则'!$B$7*55+(Q12/MAX(1,H12))/'评分规则'!$B$8*45+R12)</x:f>
        <x:v>26.435546875</x:v>
      </x:c>
      <x:c r="Y12" s="28" t="n">
        <x:f>MIN(100,'评分规则'!$B$9/MAX(0.1,H12)*65+I12*7+S12)</x:f>
        <x:v>57.78125</x:v>
      </x:c>
      <x:c r="Z12" s="28" t="n">
        <x:f>MIN(100,U12/'评分规则'!$B$10*75+25)</x:f>
        <x:v>75</x:v>
      </x:c>
      <x:c r="AA12" s="28" t="n">
        <x:f>V12*'评分规则'!$B$11+MAX(W12,X12)*'评分规则'!$B$12+MIN(W12,X12)*'评分规则'!$B$13+Y12*'评分规则'!$B$14+Z12*'评分规则'!$B$15</x:f>
        <x:v>53.061458333333334</x:v>
      </x:c>
      <x:c r="AB12" s="22" t="str">
        <x:f>IF(AA12&gt;=72,"S",IF(AA12&gt;=64,"A",IF(AA12&gt;=52,"B",IF(AA12&gt;=42,"C","D"))))</x:f>
        <x:v>B</x:v>
      </x:c>
      <x:c r="AC12" s="22" t="str">
        <x:f>IF(AA12&gt;='评分规则'!$B$16,"偏强",IF(AA12&lt;='评分规则'!$B$17,"偏弱","合理"))</x:f>
        <x:v>合理</x:v>
      </x:c>
      <x:c r="AD12" s="22" t="str">
        <x:f>B12&amp;"：生存"&amp;ROUND(V12,0)&amp;" / 输出"&amp;ROUND(W12,0)&amp;" / 功能"&amp;ROUND(X12,0)&amp;" / 节奏"&amp;ROUND(Y12,0)&amp;" / 羁绊"&amp;ROUND(Z12,0)&amp;"。主要优势在"&amp;IF(MAX(V12:Z12)=V12,"身板",IF(MAX(V12:Z12)=W12,"输出",IF(MAX(V12:Z12)=X12,"功能",IF(MAX(V12:Z12)=Y12,"节奏","构筑兼容"))))&amp;"。"</x:f>
        <x:v>群张郃：生存80 / 输出0 / 功能26 / 节奏58 / 羁绊75。主要优势在身板。</x:v>
      </x:c>
      <x:c r="AE12" s="22" t="str">
        <x:f>IF(AC12="偏强","建议先下调"&amp;IF(MAX(V12:Z12)=W12,"技能系数或目标数",IF(MAX(V12:Z12)=Y12,"行动条收益或读条速度",IF(MAX(V12:Z12)=X12,"控制/治疗/护盾强度","最高分项约5%~10%")))&amp;"，再做镜像对战验证。",IF(AC12="偏弱","建议优先补足"&amp;IF(MAX(W12,X12)=W12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12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河北四庭柱（颜良、文丑、群张郃、高览）：开场获得1层紫幕；主动还能为同列友军补充1层。</x:v>
      </x:c>
      <x:c r="AG12" s="23" t="str">
        <x:v>{"base_shield":51,"flat":20,"mult":0.75,"spell_ward":1}</x:v>
      </x:c>
    </x:row>
    <x:row r="13" ht="42" customHeight="1">
      <x:c r="A13" s="21" t="str">
        <x:v>wenchou</x:v>
      </x:c>
      <x:c r="B13" s="21" t="str">
        <x:v>文丑</x:v>
      </x:c>
      <x:c r="C13" s="21" t="str">
        <x:v>Wen Chou</x:v>
      </x:c>
      <x:c r="D13" s="31" t="str">
        <x:v>群</x:v>
      </x:c>
      <x:c r="E13" s="21" t="str">
        <x:v>坦克 / 反击</x:v>
      </x:c>
      <x:c r="F13" s="24" t="n">
        <x:v>1300</x:v>
      </x:c>
      <x:c r="G13" s="24" t="n">
        <x:v>49</x:v>
      </x:c>
      <x:c r="H13" s="25" t="n">
        <x:v>3.1</x:v>
      </x:c>
      <x:c r="I13" s="21" t="n">
        <x:v>1</x:v>
      </x:c>
      <x:c r="J13" s="21" t="str">
        <x:v>返锋</x:v>
      </x:c>
      <x:c r="K13" s="21" t="str">
        <x:v>shield_single</x:v>
      </x:c>
      <x:c r="L13" s="26" t="n">
        <x:v>0</x:v>
      </x:c>
      <x:c r="M13" s="26" t="n">
        <x:v>1</x:v>
      </x:c>
      <x:c r="N13" s="27" t="n">
        <x:v>0</x:v>
      </x:c>
      <x:c r="O13" s="27" t="n">
        <x:v>0</x:v>
      </x:c>
      <x:c r="P13" s="27" t="n">
        <x:v>77</x:v>
      </x:c>
      <x:c r="Q13" s="27" t="n">
        <x:v>0</x:v>
      </x:c>
      <x:c r="R13" s="21" t="n">
        <x:v>0</x:v>
      </x:c>
      <x:c r="S13" s="21" t="n">
        <x:v>0</x:v>
      </x:c>
      <x:c r="T13" s="21" t="n">
        <x:v>20</x:v>
      </x:c>
      <x:c r="U13" s="21" t="n">
        <x:v>2</x:v>
      </x:c>
      <x:c r="V13" s="28" t="n">
        <x:f>MIN(100,F13/'评分规则'!$B$5*70+IF(I13=1,10,0)+T13+MIN(15,(O13+P13)/MAX(1,H13)/'评分规则'!$B$7*10))</x:f>
        <x:v>82.10797491039426</x:v>
      </x:c>
      <x:c r="W13" s="28" t="n">
        <x:f>MIN(100,((G13*L13*M13+N13)/MAX(1,H13))/'评分规则'!$B$6*70)</x:f>
        <x:v>0</x:v>
      </x:c>
      <x:c r="X13" s="28" t="n">
        <x:f>MIN(100,((O13+P13)/MAX(1,H13))/'评分规则'!$B$7*55+(Q13/MAX(1,H13))/'评分规则'!$B$8*45+R13)</x:f>
        <x:v>8.538306451612904</x:v>
      </x:c>
      <x:c r="Y13" s="28" t="n">
        <x:f>MIN(100,'评分规则'!$B$9/MAX(0.1,H13)*65+I13*7+S13)</x:f>
        <x:v>59.41935483870967</x:v>
      </x:c>
      <x:c r="Z13" s="28" t="n">
        <x:f>MIN(100,U13/'评分规则'!$B$10*75+25)</x:f>
        <x:v>75</x:v>
      </x:c>
      <x:c r="AA13" s="28" t="n">
        <x:f>V13*'评分规则'!$B$11+MAX(W13,X13)*'评分规则'!$B$12+MIN(W13,X13)*'评分规则'!$B$13+Y13*'评分规则'!$B$14+Z13*'评分规则'!$B$15</x:f>
        <x:v>46.72078853046595</x:v>
      </x:c>
      <x:c r="AB13" s="22" t="str">
        <x:f>IF(AA13&gt;=72,"S",IF(AA13&gt;=64,"A",IF(AA13&gt;=52,"B",IF(AA13&gt;=42,"C","D"))))</x:f>
        <x:v>C</x:v>
      </x:c>
      <x:c r="AC13" s="22" t="str">
        <x:f>IF(AA13&gt;='评分规则'!$B$16,"偏强",IF(AA13&lt;='评分规则'!$B$17,"偏弱","合理"))</x:f>
        <x:v>合理</x:v>
      </x:c>
      <x:c r="AD13" s="22" t="str">
        <x:f>B13&amp;"：生存"&amp;ROUND(V13,0)&amp;" / 输出"&amp;ROUND(W13,0)&amp;" / 功能"&amp;ROUND(X13,0)&amp;" / 节奏"&amp;ROUND(Y13,0)&amp;" / 羁绊"&amp;ROUND(Z13,0)&amp;"。主要优势在"&amp;IF(MAX(V13:Z13)=V13,"身板",IF(MAX(V13:Z13)=W13,"输出",IF(MAX(V13:Z13)=X13,"功能",IF(MAX(V13:Z13)=Y13,"节奏","构筑兼容"))))&amp;"。"</x:f>
        <x:v>文丑：生存82 / 输出0 / 功能9 / 节奏59 / 羁绊75。主要优势在身板。</x:v>
      </x:c>
      <x:c r="AE13" s="22" t="str">
        <x:f>IF(AC13="偏强","建议先下调"&amp;IF(MAX(V13:Z13)=W13,"技能系数或目标数",IF(MAX(V13:Z13)=Y13,"行动条收益或读条速度",IF(MAX(V13:Z13)=X13,"控制/治疗/护盾强度","最高分项约5%~10%")))&amp;"，再做镜像对战验证。",IF(AC13="偏弱","建议优先补足"&amp;IF(MAX(W13,X13)=W13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13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河北四庭柱（颜良、文丑、群张郃、高览）：开场获得1层紫幕，且指向技能有35%概率反弹60%伤害。</x:v>
      </x:c>
      <x:c r="AG13" s="23" t="str">
        <x:v>{"base_shield":77,"flat":28,"mult":1,"spell_reflect":0.35}</x:v>
      </x:c>
    </x:row>
    <x:row r="14" ht="42" customHeight="1">
      <x:c r="A14" s="21" t="str">
        <x:v>yanliang</x:v>
      </x:c>
      <x:c r="B14" s="21" t="str">
        <x:v>颜良</x:v>
      </x:c>
      <x:c r="C14" s="21" t="str">
        <x:v>Yan Liang</x:v>
      </x:c>
      <x:c r="D14" s="31" t="str">
        <x:v>群</x:v>
      </x:c>
      <x:c r="E14" s="21" t="str">
        <x:v>坦克 / 法师</x:v>
      </x:c>
      <x:c r="F14" s="24" t="n">
        <x:v>1400</x:v>
      </x:c>
      <x:c r="G14" s="24" t="n">
        <x:v>47</x:v>
      </x:c>
      <x:c r="H14" s="25" t="n">
        <x:v>3.1</x:v>
      </x:c>
      <x:c r="I14" s="21" t="n">
        <x:v>1</x:v>
      </x:c>
      <x:c r="J14" s="21" t="str">
        <x:v>河北反击</x:v>
      </x:c>
      <x:c r="K14" s="21" t="str">
        <x:v>multi_magic</x:v>
      </x:c>
      <x:c r="L14" s="26" t="n">
        <x:v>0.89</x:v>
      </x:c>
      <x:c r="M14" s="26" t="n">
        <x:v>2</x:v>
      </x:c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1" t="n">
        <x:v>0</x:v>
      </x:c>
      <x:c r="S14" s="21" t="n">
        <x:v>0</x:v>
      </x:c>
      <x:c r="T14" s="21" t="n">
        <x:v>20</x:v>
      </x:c>
      <x:c r="U14" s="21" t="n">
        <x:v>2</x:v>
      </x:c>
      <x:c r="V14" s="28" t="n">
        <x:f>MIN(100,F14/'评分规则'!$B$5*70+IF(I14=1,10,0)+T14+MIN(15,(O14+P14)/MAX(1,H14)/'评分规则'!$B$7*10))</x:f>
        <x:v>84.44444444444444</x:v>
      </x:c>
      <x:c r="W14" s="28" t="n">
        <x:f>MIN(100,((G14*L14*M14+N14)/MAX(1,H14))/'评分规则'!$B$6*70)</x:f>
        <x:v>20.989964157706094</x:v>
      </x:c>
      <x:c r="X14" s="28" t="n">
        <x:f>MIN(100,((O14+P14)/MAX(1,H14))/'评分规则'!$B$7*55+(Q14/MAX(1,H14))/'评分规则'!$B$8*45+R14)</x:f>
        <x:v>0</x:v>
      </x:c>
      <x:c r="Y14" s="28" t="n">
        <x:f>MIN(100,'评分规则'!$B$9/MAX(0.1,H14)*65+I14*7+S14)</x:f>
        <x:v>59.41935483870967</x:v>
      </x:c>
      <x:c r="Z14" s="28" t="n">
        <x:f>MIN(100,U14/'评分规则'!$B$10*75+25)</x:f>
        <x:v>75</x:v>
      </x:c>
      <x:c r="AA14" s="28" t="n">
        <x:f>V14*'评分规则'!$B$11+MAX(W14,X14)*'评分规则'!$B$12+MIN(W14,X14)*'评分规则'!$B$13+Y14*'评分规则'!$B$14+Z14*'评分规则'!$B$15</x:f>
        <x:v>52.16874551971326</x:v>
      </x:c>
      <x:c r="AB14" s="22" t="str">
        <x:f>IF(AA14&gt;=72,"S",IF(AA14&gt;=64,"A",IF(AA14&gt;=52,"B",IF(AA14&gt;=42,"C","D"))))</x:f>
        <x:v>B</x:v>
      </x:c>
      <x:c r="AC14" s="22" t="str">
        <x:f>IF(AA14&gt;='评分规则'!$B$16,"偏强",IF(AA14&lt;='评分规则'!$B$17,"偏弱","合理"))</x:f>
        <x:v>合理</x:v>
      </x:c>
      <x:c r="AD14" s="22" t="str">
        <x:f>B14&amp;"：生存"&amp;ROUND(V14,0)&amp;" / 输出"&amp;ROUND(W14,0)&amp;" / 功能"&amp;ROUND(X14,0)&amp;" / 节奏"&amp;ROUND(Y14,0)&amp;" / 羁绊"&amp;ROUND(Z14,0)&amp;"。主要优势在"&amp;IF(MAX(V14:Z14)=V14,"身板",IF(MAX(V14:Z14)=W14,"输出",IF(MAX(V14:Z14)=X14,"功能",IF(MAX(V14:Z14)=Y14,"节奏","构筑兼容"))))&amp;"。"</x:f>
        <x:v>颜良：生存84 / 输出21 / 功能0 / 节奏59 / 羁绊75。主要优势在身板。</x:v>
      </x:c>
      <x:c r="AE14" s="22" t="str">
        <x:f>IF(AC14="偏强","建议先下调"&amp;IF(MAX(V14:Z14)=W14,"技能系数或目标数",IF(MAX(V14:Z14)=Y14,"行动条收益或读条速度",IF(MAX(V14:Z14)=X14,"控制/治疗/护盾强度","最高分项约5%~10%")))&amp;"，再做镜像对战验证。",IF(AC14="偏弱","建议优先补足"&amp;IF(MAX(W14,X14)=W14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14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河北四庭柱（颜良、文丑、群张郃、高览）：开场获得1层紫幕，抵挡下一次主动技能。</x:v>
      </x:c>
      <x:c r="AG14" s="23" t="str">
        <x:v>{"base_value":42,"count":2,"mult":0.9}</x:v>
      </x:c>
    </x:row>
    <x:row r="15" ht="42" customHeight="1">
      <x:c r="A15" s="21" t="str">
        <x:v>yuji</x:v>
      </x:c>
      <x:c r="B15" s="21" t="str">
        <x:v>于吉</x:v>
      </x:c>
      <x:c r="C15" s="21" t="str">
        <x:v>Yu Ji</x:v>
      </x:c>
      <x:c r="D15" s="31" t="str">
        <x:v>群</x:v>
      </x:c>
      <x:c r="E15" s="21" t="str">
        <x:v>法师 / 收割</x:v>
      </x:c>
      <x:c r="F15" s="24" t="n">
        <x:v>860</x:v>
      </x:c>
      <x:c r="G15" s="24" t="n">
        <x:v>44</x:v>
      </x:c>
      <x:c r="H15" s="25" t="n">
        <x:v>3.7</x:v>
      </x:c>
      <x:c r="I15" s="21" t="n">
        <x:v>3</x:v>
      </x:c>
      <x:c r="J15" s="21" t="str">
        <x:v>亡魂爆破</x:v>
      </x:c>
      <x:c r="K15" s="21" t="str">
        <x:v>row_magic</x:v>
      </x:c>
      <x:c r="L15" s="26" t="n">
        <x:v>0.95</x:v>
      </x:c>
      <x:c r="M15" s="26" t="n">
        <x:v>2.2</x:v>
      </x:c>
      <x:c r="N15" s="27" t="n">
        <x:v>0</x:v>
      </x:c>
      <x:c r="O15" s="27" t="n">
        <x:v>0</x:v>
      </x:c>
      <x:c r="P15" s="27" t="n">
        <x:v>0</x:v>
      </x:c>
      <x:c r="Q15" s="27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2</x:v>
      </x:c>
      <x:c r="V15" s="28" t="n">
        <x:f>MIN(100,F15/'评分规则'!$B$5*70+IF(I15=1,10,0)+T15+MIN(15,(O15+P15)/MAX(1,H15)/'评分规则'!$B$7*10))</x:f>
        <x:v>33.44444444444444</x:v>
      </x:c>
      <x:c r="W15" s="28" t="n">
        <x:f>MIN(100,((G15*L15*M15+N15)/MAX(1,H15))/'评分规则'!$B$6*70)</x:f>
        <x:v>19.33093093093093</x:v>
      </x:c>
      <x:c r="X15" s="28" t="n">
        <x:f>MIN(100,((O15+P15)/MAX(1,H15))/'评分规则'!$B$7*55+(Q15/MAX(1,H15))/'评分规则'!$B$8*45+R15)</x:f>
        <x:v>0</x:v>
      </x:c>
      <x:c r="Y15" s="28" t="n">
        <x:f>MIN(100,'评分规则'!$B$9/MAX(0.1,H15)*65+I15*7+S15)</x:f>
        <x:v>64.91891891891892</x:v>
      </x:c>
      <x:c r="Z15" s="28" t="n">
        <x:f>MIN(100,U15/'评分规则'!$B$10*75+25)</x:f>
        <x:v>75</x:v>
      </x:c>
      <x:c r="AA15" s="28" t="n">
        <x:f>V15*'评分规则'!$B$11+MAX(W15,X15)*'评分规则'!$B$12+MIN(W15,X15)*'评分规则'!$B$13+Y15*'评分规则'!$B$14+Z15*'评分规则'!$B$15</x:f>
        <x:v>42.40504504504504</x:v>
      </x:c>
      <x:c r="AB15" s="22" t="str">
        <x:f>IF(AA15&gt;=72,"S",IF(AA15&gt;=64,"A",IF(AA15&gt;=52,"B",IF(AA15&gt;=42,"C","D"))))</x:f>
        <x:v>C</x:v>
      </x:c>
      <x:c r="AC15" s="22" t="str">
        <x:f>IF(AA15&gt;='评分规则'!$B$16,"偏强",IF(AA15&lt;='评分规则'!$B$17,"偏弱","合理"))</x:f>
        <x:v>合理</x:v>
      </x:c>
      <x:c r="AD15" s="22" t="str">
        <x:f>B15&amp;"：生存"&amp;ROUND(V15,0)&amp;" / 输出"&amp;ROUND(W15,0)&amp;" / 功能"&amp;ROUND(X15,0)&amp;" / 节奏"&amp;ROUND(Y15,0)&amp;" / 羁绊"&amp;ROUND(Z15,0)&amp;"。主要优势在"&amp;IF(MAX(V15:Z15)=V15,"身板",IF(MAX(V15:Z15)=W15,"输出",IF(MAX(V15:Z15)=X15,"功能",IF(MAX(V15:Z15)=Y15,"节奏","构筑兼容"))))&amp;"。"</x:f>
        <x:v>于吉：生存33 / 输出19 / 功能0 / 节奏65 / 羁绊75。主要优势在构筑兼容。</x:v>
      </x:c>
      <x:c r="AE15" s="22" t="str">
        <x:f>IF(AC15="偏强","建议先下调"&amp;IF(MAX(V15:Z15)=W15,"技能系数或目标数",IF(MAX(V15:Z15)=Y15,"行动条收益或读条速度",IF(MAX(V15:Z15)=X15,"控制/治疗/护盾强度","最高分项约5%~10%")))&amp;"，再做镜像对战验证。",IF(AC15="偏弱","建议优先补足"&amp;IF(MAX(W15,X15)=W15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15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天道（于吉、张角）：友军阵亡时有65%概率对随机敌人降下60%攻击天雷。</x:v>
      </x:c>
      <x:c r="AG15" s="23" t="str">
        <x:v>{"base_value":42,"fallen_scale":0.18,"mult":0.95,"target_mode":"back_low"}</x:v>
      </x:c>
    </x:row>
    <x:row r="16" ht="42" customHeight="1">
      <x:c r="A16" s="21" t="str">
        <x:v>yuanshao</x:v>
      </x:c>
      <x:c r="B16" s="21" t="str">
        <x:v>袁绍</x:v>
      </x:c>
      <x:c r="C16" s="21" t="str">
        <x:v>Yuan Shao</x:v>
      </x:c>
      <x:c r="D16" s="31" t="str">
        <x:v>群</x:v>
      </x:c>
      <x:c r="E16" s="21" t="str">
        <x:v>战士 / 辅助</x:v>
      </x:c>
      <x:c r="F16" s="24" t="n">
        <x:v>840</x:v>
      </x:c>
      <x:c r="G16" s="24" t="n">
        <x:v>38</x:v>
      </x:c>
      <x:c r="H16" s="25" t="n">
        <x:v>3</x:v>
      </x:c>
      <x:c r="I16" s="21" t="n">
        <x:v>3</x:v>
      </x:c>
      <x:c r="J16" s="21" t="str">
        <x:v>诸侯盟主</x:v>
      </x:c>
      <x:c r="K16" s="21" t="str">
        <x:v>buff_self</x:v>
      </x:c>
      <x:c r="L16" s="26" t="n">
        <x:v>0</x:v>
      </x:c>
      <x:c r="M16" s="26" t="n">
        <x:v>1</x:v>
      </x:c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1" t="n">
        <x:v>55</x:v>
      </x:c>
      <x:c r="S16" s="21" t="n">
        <x:v>0</x:v>
      </x:c>
      <x:c r="T16" s="21" t="n">
        <x:v>8</x:v>
      </x:c>
      <x:c r="U16" s="21" t="n">
        <x:v>1</x:v>
      </x:c>
      <x:c r="V16" s="28" t="n">
        <x:f>MIN(100,F16/'评分规则'!$B$5*70+IF(I16=1,10,0)+T16+MIN(15,(O16+P16)/MAX(1,H16)/'评分规则'!$B$7*10))</x:f>
        <x:v>40.666666666666664</x:v>
      </x:c>
      <x:c r="W16" s="28" t="n">
        <x:f>MIN(100,((G16*L16*M16+N16)/MAX(1,H16))/'评分规则'!$B$6*70)</x:f>
        <x:v>0</x:v>
      </x:c>
      <x:c r="X16" s="28" t="n">
        <x:f>MIN(100,((O16+P16)/MAX(1,H16))/'评分规则'!$B$7*55+(Q16/MAX(1,H16))/'评分规则'!$B$8*45+R16)</x:f>
        <x:v>55</x:v>
      </x:c>
      <x:c r="Y16" s="28" t="n">
        <x:f>MIN(100,'评分规则'!$B$9/MAX(0.1,H16)*65+I16*7+S16)</x:f>
        <x:v>75.16666666666667</x:v>
      </x:c>
      <x:c r="Z16" s="28" t="n">
        <x:f>MIN(100,U16/'评分规则'!$B$10*75+25)</x:f>
        <x:v>50</x:v>
      </x:c>
      <x:c r="AA16" s="28" t="n">
        <x:f>V16*'评分规则'!$B$11+MAX(W16,X16)*'评分规则'!$B$12+MIN(W16,X16)*'评分规则'!$B$13+Y16*'评分规则'!$B$14+Z16*'评分规则'!$B$15</x:f>
        <x:v>55.16666666666667</x:v>
      </x:c>
      <x:c r="AB16" s="22" t="str">
        <x:f>IF(AA16&gt;=72,"S",IF(AA16&gt;=64,"A",IF(AA16&gt;=52,"B",IF(AA16&gt;=42,"C","D"))))</x:f>
        <x:v>B</x:v>
      </x:c>
      <x:c r="AC16" s="22" t="str">
        <x:f>IF(AA16&gt;='评分规则'!$B$16,"偏强",IF(AA16&lt;='评分规则'!$B$17,"偏弱","合理"))</x:f>
        <x:v>合理</x:v>
      </x:c>
      <x:c r="AD16" s="22" t="str">
        <x:f>B16&amp;"：生存"&amp;ROUND(V16,0)&amp;" / 输出"&amp;ROUND(W16,0)&amp;" / 功能"&amp;ROUND(X16,0)&amp;" / 节奏"&amp;ROUND(Y16,0)&amp;" / 羁绊"&amp;ROUND(Z16,0)&amp;"。主要优势在"&amp;IF(MAX(V16:Z16)=V16,"身板",IF(MAX(V16:Z16)=W16,"输出",IF(MAX(V16:Z16)=X16,"功能",IF(MAX(V16:Z16)=Y16,"节奏","构筑兼容"))))&amp;"。"</x:f>
        <x:v>袁绍：生存41 / 输出0 / 功能55 / 节奏75 / 羁绊50。主要优势在节奏。</x:v>
      </x:c>
      <x:c r="AE16" s="22" t="str">
        <x:f>IF(AC16="偏强","建议先下调"&amp;IF(MAX(V16:Z16)=W16,"技能系数或目标数",IF(MAX(V16:Z16)=Y16,"行动条收益或读条速度",IF(MAX(V16:Z16)=X16,"控制/治疗/护盾强度","最高分项约5%~10%")))&amp;"，再做镜像对战验证。",IF(AC16="偏弱","建议优先补足"&amp;IF(MAX(W16,X16)=W16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16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</x:v>
      </x:c>
      <x:c r="AG16" s="23" t="str">
        <x:v>{"damage":0.1,"faction_scale":true}</x:v>
      </x:c>
    </x:row>
    <x:row r="17" ht="42" customHeight="1">
      <x:c r="A17" s="21" t="str">
        <x:v>yuanshu</x:v>
      </x:c>
      <x:c r="B17" s="21" t="str">
        <x:v>袁术</x:v>
      </x:c>
      <x:c r="C17" s="21" t="str">
        <x:v>Yuan Shu</x:v>
      </x:c>
      <x:c r="D17" s="31" t="str">
        <x:v>群</x:v>
      </x:c>
      <x:c r="E17" s="21" t="str">
        <x:v>法师 / 爆发</x:v>
      </x:c>
      <x:c r="F17" s="24" t="n">
        <x:v>820</x:v>
      </x:c>
      <x:c r="G17" s="24" t="n">
        <x:v>44</x:v>
      </x:c>
      <x:c r="H17" s="25" t="n">
        <x:v>3.6</x:v>
      </x:c>
      <x:c r="I17" s="21" t="n">
        <x:v>3</x:v>
      </x:c>
      <x:c r="J17" s="21" t="str">
        <x:v>伪帝连珠</x:v>
      </x:c>
      <x:c r="K17" s="21" t="str">
        <x:v>multi_magic</x:v>
      </x:c>
      <x:c r="L17" s="26" t="n">
        <x:v>0.66</x:v>
      </x:c>
      <x:c r="M17" s="26" t="n">
        <x:v>4</x:v>
      </x:c>
      <x:c r="N17" s="27" t="n">
        <x:v>0</x:v>
      </x:c>
      <x:c r="O17" s="27" t="n">
        <x:v>0</x:v>
      </x:c>
      <x:c r="P17" s="27" t="n">
        <x:v>0</x:v>
      </x:c>
      <x:c r="Q17" s="27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1</x:v>
      </x:c>
      <x:c r="V17" s="28" t="n">
        <x:f>MIN(100,F17/'评分规则'!$B$5*70+IF(I17=1,10,0)+T17+MIN(15,(O17+P17)/MAX(1,H17)/'评分规则'!$B$7*10))</x:f>
        <x:v>31.88888888888889</x:v>
      </x:c>
      <x:c r="W17" s="28" t="n">
        <x:f>MIN(100,((G17*L17*M17+N17)/MAX(1,H17))/'评分规则'!$B$6*70)</x:f>
        <x:v>25.096296296296295</x:v>
      </x:c>
      <x:c r="X17" s="28" t="n">
        <x:f>MIN(100,((O17+P17)/MAX(1,H17))/'评分规则'!$B$7*55+(Q17/MAX(1,H17))/'评分规则'!$B$8*45+R17)</x:f>
        <x:v>0</x:v>
      </x:c>
      <x:c r="Y17" s="28" t="n">
        <x:f>MIN(100,'评分规则'!$B$9/MAX(0.1,H17)*65+I17*7+S17)</x:f>
        <x:v>66.13888888888889</x:v>
      </x:c>
      <x:c r="Z17" s="28" t="n">
        <x:f>MIN(100,U17/'评分规则'!$B$10*75+25)</x:f>
        <x:v>50</x:v>
      </x:c>
      <x:c r="AA17" s="28" t="n">
        <x:f>V17*'评分规则'!$B$11+MAX(W17,X17)*'评分规则'!$B$12+MIN(W17,X17)*'评分规则'!$B$13+Y17*'评分规则'!$B$14+Z17*'评分规则'!$B$15</x:f>
        <x:v>39.64407407407407</x:v>
      </x:c>
      <x:c r="AB17" s="22" t="str">
        <x:f>IF(AA17&gt;=72,"S",IF(AA17&gt;=64,"A",IF(AA17&gt;=52,"B",IF(AA17&gt;=42,"C","D"))))</x:f>
        <x:v>D</x:v>
      </x:c>
      <x:c r="AC17" s="22" t="str">
        <x:f>IF(AA17&gt;='评分规则'!$B$16,"偏强",IF(AA17&lt;='评分规则'!$B$17,"偏弱","合理"))</x:f>
        <x:v>偏弱</x:v>
      </x:c>
      <x:c r="AD17" s="22" t="str">
        <x:f>B17&amp;"：生存"&amp;ROUND(V17,0)&amp;" / 输出"&amp;ROUND(W17,0)&amp;" / 功能"&amp;ROUND(X17,0)&amp;" / 节奏"&amp;ROUND(Y17,0)&amp;" / 羁绊"&amp;ROUND(Z17,0)&amp;"。主要优势在"&amp;IF(MAX(V17:Z17)=V17,"身板",IF(MAX(V17:Z17)=W17,"输出",IF(MAX(V17:Z17)=X17,"功能",IF(MAX(V17:Z17)=Y17,"节奏","构筑兼容"))))&amp;"。"</x:f>
        <x:v>袁术：生存32 / 输出25 / 功能0 / 节奏66 / 羁绊50。主要优势在节奏。</x:v>
      </x:c>
      <x:c r="AE17" s="22" t="str">
        <x:f>IF(AC17="偏强","建议先下调"&amp;IF(MAX(V17:Z17)=W17,"技能系数或目标数",IF(MAX(V17:Z17)=Y17,"行动条收益或读条速度",IF(MAX(V17:Z17)=X17,"控制/治疗/护盾强度","最高分项约5%~10%")))&amp;"，再做镜像对战验证。",IF(AC17="偏弱","建议优先补足"&amp;IF(MAX(W17,X17)=W17,"技能输出或目标效率","治疗/护盾/控制覆盖率")&amp;"，单次调整控制在5%~12%。","当前静态评分处于合理区间；保持数值，重点监控羁绊阵容中的放大效应。"))</x:f>
        <x:v>建议优先补足技能输出或目标效率，单次调整控制在5%~12%。</x:v>
      </x:c>
      <x:c r="AF17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</x:v>
      </x:c>
      <x:c r="AG17" s="23" t="str">
        <x:v>{"base_value":29,"count":4,"mult":0.65}</x:v>
      </x:c>
    </x:row>
    <x:row r="18" ht="42" customHeight="1">
      <x:c r="A18" s="21" t="str">
        <x:v>zhangjiao</x:v>
      </x:c>
      <x:c r="B18" s="21" t="str">
        <x:v>张角</x:v>
      </x:c>
      <x:c r="C18" s="21" t="str">
        <x:v>Zhang Jiao</x:v>
      </x:c>
      <x:c r="D18" s="31" t="str">
        <x:v>群</x:v>
      </x:c>
      <x:c r="E18" s="21" t="str">
        <x:v>法师 / 辅助</x:v>
      </x:c>
      <x:c r="F18" s="24" t="n">
        <x:v>920</x:v>
      </x:c>
      <x:c r="G18" s="24" t="n">
        <x:v>38</x:v>
      </x:c>
      <x:c r="H18" s="25" t="n">
        <x:v>4</x:v>
      </x:c>
      <x:c r="I18" s="21" t="n">
        <x:v>3</x:v>
      </x:c>
      <x:c r="J18" s="21" t="str">
        <x:v>苍天已死</x:v>
      </x:c>
      <x:c r="K18" s="21" t="str">
        <x:v>multi_magic</x:v>
      </x:c>
      <x:c r="L18" s="26" t="n">
        <x:v>0.61</x:v>
      </x:c>
      <x:c r="M18" s="26" t="n">
        <x:v>2</x:v>
      </x:c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2</x:v>
      </x:c>
      <x:c r="V18" s="28" t="n">
        <x:f>MIN(100,F18/'评分规则'!$B$5*70+IF(I18=1,10,0)+T18+MIN(15,(O18+P18)/MAX(1,H18)/'评分规则'!$B$7*10))</x:f>
        <x:v>35.77777777777777</x:v>
      </x:c>
      <x:c r="W18" s="28" t="n">
        <x:f>MIN(100,((G18*L18*M18+N18)/MAX(1,H18))/'评分规则'!$B$6*70)</x:f>
        <x:v>9.014444444444443</x:v>
      </x:c>
      <x:c r="X18" s="28" t="n">
        <x:f>MIN(100,((O18+P18)/MAX(1,H18))/'评分规则'!$B$7*55+(Q18/MAX(1,H18))/'评分规则'!$B$8*45+R18)</x:f>
        <x:v>0</x:v>
      </x:c>
      <x:c r="Y18" s="28" t="n">
        <x:f>MIN(100,'评分规则'!$B$9/MAX(0.1,H18)*65+I18*7+S18)</x:f>
        <x:v>61.625</x:v>
      </x:c>
      <x:c r="Z18" s="28" t="n">
        <x:f>MIN(100,U18/'评分规则'!$B$10*75+25)</x:f>
        <x:v>75</x:v>
      </x:c>
      <x:c r="AA18" s="28" t="n">
        <x:f>V18*'评分规则'!$B$11+MAX(W18,X18)*'评分规则'!$B$12+MIN(W18,X18)*'评分规则'!$B$13+Y18*'评分规则'!$B$14+Z18*'评分规则'!$B$15</x:f>
        <x:v>38.086333333333336</x:v>
      </x:c>
      <x:c r="AB18" s="22" t="str">
        <x:f>IF(AA18&gt;=72,"S",IF(AA18&gt;=64,"A",IF(AA18&gt;=52,"B",IF(AA18&gt;=42,"C","D"))))</x:f>
        <x:v>D</x:v>
      </x:c>
      <x:c r="AC18" s="22" t="str">
        <x:f>IF(AA18&gt;='评分规则'!$B$16,"偏强",IF(AA18&lt;='评分规则'!$B$17,"偏弱","合理"))</x:f>
        <x:v>偏弱</x:v>
      </x:c>
      <x:c r="AD18" s="22" t="str">
        <x:f>B18&amp;"：生存"&amp;ROUND(V18,0)&amp;" / 输出"&amp;ROUND(W18,0)&amp;" / 功能"&amp;ROUND(X18,0)&amp;" / 节奏"&amp;ROUND(Y18,0)&amp;" / 羁绊"&amp;ROUND(Z18,0)&amp;"。主要优势在"&amp;IF(MAX(V18:Z18)=V18,"身板",IF(MAX(V18:Z18)=W18,"输出",IF(MAX(V18:Z18)=X18,"功能",IF(MAX(V18:Z18)=Y18,"节奏","构筑兼容"))))&amp;"。"</x:f>
        <x:v>张角：生存36 / 输出9 / 功能0 / 节奏62 / 羁绊75。主要优势在构筑兼容。</x:v>
      </x:c>
      <x:c r="AE18" s="22" t="str">
        <x:f>IF(AC18="偏强","建议先下调"&amp;IF(MAX(V18:Z18)=W18,"技能系数或目标数",IF(MAX(V18:Z18)=Y18,"行动条收益或读条速度",IF(MAX(V18:Z18)=X18,"控制/治疗/护盾强度","最高分项约5%~10%")))&amp;"，再做镜像对战验证。",IF(AC18="偏弱","建议优先补足"&amp;IF(MAX(W18,X18)=W18,"技能输出或目标效率","治疗/护盾/控制覆盖率")&amp;"，单次调整控制在5%~12%。","当前静态评分处于合理区间；保持数值，重点监控羁绊阵容中的放大效应。"))</x:f>
        <x:v>建议优先补足技能输出或目标效率，单次调整控制在5%~12%。</x:v>
      </x:c>
      <x:c r="AF18" s="23" t="str">
        <x:v>乱世争衡（吕布、貂蝉、董卓、高顺、陈宫、颜良、文丑、群张郃、高览、华佗、于吉、张角、袁绍、袁术）：3/6/9人时，友军阵亡使本武将获得15%/20%/25%行动条；若由本武将击杀，再额外获得15%。
天道（于吉、张角）：友军阵亡时有65%概率对随机敌人降下60%攻击天雷。</x:v>
      </x:c>
      <x:c r="AG18" s="23" t="str">
        <x:v>{"base_value":23,"count":2,"mult":0.6,"summon_on_death":0.45}</x:v>
      </x:c>
    </x:row>
    <x:row r="19" ht="42" customHeight="1">
      <x:c r="A19" s="21" t="str">
        <x:v>guanyu</x:v>
      </x:c>
      <x:c r="B19" s="21" t="str">
        <x:v>关羽</x:v>
      </x:c>
      <x:c r="C19" s="21" t="str">
        <x:v>Guan Yu</x:v>
      </x:c>
      <x:c r="D19" s="34" t="str">
        <x:v>蜀</x:v>
      </x:c>
      <x:c r="E19" s="21" t="str">
        <x:v>战士 / 爆发</x:v>
      </x:c>
      <x:c r="F19" s="24" t="n">
        <x:v>1440</x:v>
      </x:c>
      <x:c r="G19" s="24" t="n">
        <x:v>58</x:v>
      </x:c>
      <x:c r="H19" s="25" t="n">
        <x:v>3</x:v>
      </x:c>
      <x:c r="I19" s="21" t="n">
        <x:v>1</x:v>
      </x:c>
      <x:c r="J19" s="21" t="str">
        <x:v>青龙断阵</x:v>
      </x:c>
      <x:c r="K19" s="21" t="str">
        <x:v>专属实现</x:v>
      </x:c>
      <x:c r="L19" s="26" t="n">
        <x:v>2</x:v>
      </x:c>
      <x:c r="M19" s="26" t="n">
        <x:v>2</x:v>
      </x:c>
      <x:c r="N19" s="27" t="n">
        <x:v>0</x:v>
      </x:c>
      <x:c r="O19" s="27" t="n">
        <x:v>0</x:v>
      </x:c>
      <x:c r="P19" s="27" t="n">
        <x:v>0</x:v>
      </x:c>
      <x:c r="Q19" s="27" t="n">
        <x:v>0</x:v>
      </x:c>
      <x:c r="R19" s="21" t="n">
        <x:v>0</x:v>
      </x:c>
      <x:c r="S19" s="21" t="n">
        <x:v>0</x:v>
      </x:c>
      <x:c r="T19" s="21" t="n">
        <x:v>8</x:v>
      </x:c>
      <x:c r="U19" s="21" t="n">
        <x:v>3</x:v>
      </x:c>
      <x:c r="V19" s="28" t="n">
        <x:f>MIN(100,F19/'评分规则'!$B$5*70+IF(I19=1,10,0)+T19+MIN(15,(O19+P19)/MAX(1,H19)/'评分规则'!$B$7*10))</x:f>
        <x:v>74</x:v>
      </x:c>
      <x:c r="W19" s="28" t="n">
        <x:f>MIN(100,((G19*L19*M19+N19)/MAX(1,H19))/'评分规则'!$B$6*70)</x:f>
        <x:v>60.14814814814814</x:v>
      </x:c>
      <x:c r="X19" s="28" t="n">
        <x:f>MIN(100,((O19+P19)/MAX(1,H19))/'评分规则'!$B$7*55+(Q19/MAX(1,H19))/'评分规则'!$B$8*45+R19)</x:f>
        <x:v>0</x:v>
      </x:c>
      <x:c r="Y19" s="28" t="n">
        <x:f>MIN(100,'评分规则'!$B$9/MAX(0.1,H19)*65+I19*7+S19)</x:f>
        <x:v>61.16666666666667</x:v>
      </x:c>
      <x:c r="Z19" s="28" t="n">
        <x:f>MIN(100,U19/'评分规则'!$B$10*75+25)</x:f>
        <x:v>100</x:v>
      </x:c>
      <x:c r="AA19" s="28" t="n">
        <x:f>V19*'评分规则'!$B$11+MAX(W19,X19)*'评分规则'!$B$12+MIN(W19,X19)*'评分规则'!$B$13+Y19*'评分规则'!$B$14+Z19*'评分规则'!$B$15</x:f>
        <x:v>71.0925925925926</x:v>
      </x:c>
      <x:c r="AB19" s="22" t="str">
        <x:f>IF(AA19&gt;=72,"S",IF(AA19&gt;=64,"A",IF(AA19&gt;=52,"B",IF(AA19&gt;=42,"C","D"))))</x:f>
        <x:v>A</x:v>
      </x:c>
      <x:c r="AC19" s="22" t="str">
        <x:f>IF(AA19&gt;='评分规则'!$B$16,"偏强",IF(AA19&lt;='评分规则'!$B$17,"偏弱","合理"))</x:f>
        <x:v>偏强</x:v>
      </x:c>
      <x:c r="AD19" s="22" t="str">
        <x:f>B19&amp;"：生存"&amp;ROUND(V19,0)&amp;" / 输出"&amp;ROUND(W19,0)&amp;" / 功能"&amp;ROUND(X19,0)&amp;" / 节奏"&amp;ROUND(Y19,0)&amp;" / 羁绊"&amp;ROUND(Z19,0)&amp;"。主要优势在"&amp;IF(MAX(V19:Z19)=V19,"身板",IF(MAX(V19:Z19)=W19,"输出",IF(MAX(V19:Z19)=X19,"功能",IF(MAX(V19:Z19)=Y19,"节奏","构筑兼容"))))&amp;"。"</x:f>
        <x:v>关羽：生存74 / 输出60 / 功能0 / 节奏61 / 羁绊100。主要优势在构筑兼容。</x:v>
      </x:c>
      <x:c r="AE19" s="22" t="str">
        <x:f>IF(AC19="偏强","建议先下调"&amp;IF(MAX(V19:Z19)=W19,"技能系数或目标数",IF(MAX(V19:Z19)=Y19,"行动条收益或读条速度",IF(MAX(V19:Z19)=X19,"控制/治疗/护盾强度","最高分项约5%~10%")))&amp;"，再做镜像对战验证。",IF(AC19="偏弱","建议优先补足"&amp;IF(MAX(W19,X19)=W19,"技能输出或目标效率","治疗/护盾/控制覆盖率")&amp;"，单次调整控制在5%~12%。","当前静态评分处于合理区间；保持数值，重点监控羁绊阵容中的放大效应。"))</x:f>
        <x:v>建议先下调最高分项约5%~10%，再做镜像对战验证。</x:v>
      </x:c>
      <x:c r="AF19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桃园结义（刘备、关羽、张飞）：整列斩由200%攻击提高为300%攻击。
五虎上将（关羽、张飞、赵云、黄忠、马超）：技能实际伤害的20%回复自身生命。</x:v>
      </x:c>
      <x:c r="AG19" s="23" t="str">
        <x:v>{"base_value":58}</x:v>
      </x:c>
    </x:row>
    <x:row r="20" ht="42" customHeight="1">
      <x:c r="A20" s="21" t="str">
        <x:v>huangzhong</x:v>
      </x:c>
      <x:c r="B20" s="21" t="str">
        <x:v>黄忠</x:v>
      </x:c>
      <x:c r="C20" s="21" t="str">
        <x:v>Huang Zhong</x:v>
      </x:c>
      <x:c r="D20" s="34" t="str">
        <x:v>蜀</x:v>
      </x:c>
      <x:c r="E20" s="21" t="str">
        <x:v>战士 / 爆发</x:v>
      </x:c>
      <x:c r="F20" s="24" t="n">
        <x:v>720</x:v>
      </x:c>
      <x:c r="G20" s="24" t="n">
        <x:v>46</x:v>
      </x:c>
      <x:c r="H20" s="25" t="n">
        <x:v>2</x:v>
      </x:c>
      <x:c r="I20" s="21" t="n">
        <x:v>3</x:v>
      </x:c>
      <x:c r="J20" s="21" t="str">
        <x:v>百步穿杨</x:v>
      </x:c>
      <x:c r="K20" s="21" t="str">
        <x:v>strike</x:v>
      </x:c>
      <x:c r="L20" s="26" t="n">
        <x:v>1.46</x:v>
      </x:c>
      <x:c r="M20" s="26" t="n">
        <x:v>1</x:v>
      </x:c>
      <x:c r="N20" s="27" t="n">
        <x:v>0</x:v>
      </x:c>
      <x:c r="O20" s="27" t="n">
        <x:v>0</x:v>
      </x:c>
      <x:c r="P20" s="27" t="n">
        <x:v>0</x:v>
      </x:c>
      <x:c r="Q20" s="27" t="n">
        <x:v>0</x:v>
      </x:c>
      <x:c r="R20" s="21" t="n">
        <x:v>0</x:v>
      </x:c>
      <x:c r="S20" s="21" t="n">
        <x:v>0</x:v>
      </x:c>
      <x:c r="T20" s="21" t="n">
        <x:v>8</x:v>
      </x:c>
      <x:c r="U20" s="21" t="n">
        <x:v>3</x:v>
      </x:c>
      <x:c r="V20" s="28" t="n">
        <x:f>MIN(100,F20/'评分规则'!$B$5*70+IF(I20=1,10,0)+T20+MIN(15,(O20+P20)/MAX(1,H20)/'评分规则'!$B$7*10))</x:f>
        <x:v>36</x:v>
      </x:c>
      <x:c r="W20" s="28" t="n">
        <x:f>MIN(100,((G20*L20*M20+N20)/MAX(1,H20))/'评分规则'!$B$6*70)</x:f>
        <x:v>26.11777777777778</x:v>
      </x:c>
      <x:c r="X20" s="28" t="n">
        <x:f>MIN(100,((O20+P20)/MAX(1,H20))/'评分规则'!$B$7*55+(Q20/MAX(1,H20))/'评分规则'!$B$8*45+R20)</x:f>
        <x:v>0</x:v>
      </x:c>
      <x:c r="Y20" s="28" t="n">
        <x:f>MIN(100,'评分规则'!$B$9/MAX(0.1,H20)*65+I20*7+S20)</x:f>
        <x:v>100</x:v>
      </x:c>
      <x:c r="Z20" s="28" t="n">
        <x:f>MIN(100,U20/'评分规则'!$B$10*75+25)</x:f>
        <x:v>100</x:v>
      </x:c>
      <x:c r="AA20" s="28" t="n">
        <x:f>V20*'评分规则'!$B$11+MAX(W20,X20)*'评分规则'!$B$12+MIN(W20,X20)*'评分规则'!$B$13+Y20*'评分规则'!$B$14+Z20*'评分规则'!$B$15</x:f>
        <x:v>57.647111111111116</x:v>
      </x:c>
      <x:c r="AB20" s="22" t="str">
        <x:f>IF(AA20&gt;=72,"S",IF(AA20&gt;=64,"A",IF(AA20&gt;=52,"B",IF(AA20&gt;=42,"C","D"))))</x:f>
        <x:v>B</x:v>
      </x:c>
      <x:c r="AC20" s="22" t="str">
        <x:f>IF(AA20&gt;='评分规则'!$B$16,"偏强",IF(AA20&lt;='评分规则'!$B$17,"偏弱","合理"))</x:f>
        <x:v>合理</x:v>
      </x:c>
      <x:c r="AD20" s="22" t="str">
        <x:f>B20&amp;"：生存"&amp;ROUND(V20,0)&amp;" / 输出"&amp;ROUND(W20,0)&amp;" / 功能"&amp;ROUND(X20,0)&amp;" / 节奏"&amp;ROUND(Y20,0)&amp;" / 羁绊"&amp;ROUND(Z20,0)&amp;"。主要优势在"&amp;IF(MAX(V20:Z20)=V20,"身板",IF(MAX(V20:Z20)=W20,"输出",IF(MAX(V20:Z20)=X20,"功能",IF(MAX(V20:Z20)=Y20,"节奏","构筑兼容"))))&amp;"。"</x:f>
        <x:v>黄忠：生存36 / 输出26 / 功能0 / 节奏100 / 羁绊100。主要优势在节奏。</x:v>
      </x:c>
      <x:c r="AE20" s="22" t="str">
        <x:f>IF(AC20="偏强","建议先下调"&amp;IF(MAX(V20:Z20)=W20,"技能系数或目标数",IF(MAX(V20:Z20)=Y20,"行动条收益或读条速度",IF(MAX(V20:Z20)=X20,"控制/治疗/护盾强度","最高分项约5%~10%")))&amp;"，再做镜像对战验证。",IF(AC20="偏弱","建议优先补足"&amp;IF(MAX(W20,X20)=W20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20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五虎上将（关羽、张飞、赵云、黄忠、马超）：大招固定选择敌方前排格，伤害由200%提高至500%攻击。
飞火流星（黄忠、魏延）：百步穿杨有50%概率暴击，伤害变为原来的200%。</x:v>
      </x:c>
      <x:c r="AG20" s="23" t="str">
        <x:v>{"base_value":67,"focus":true,"mult":1.45,"target_mode":"back_low"}</x:v>
      </x:c>
    </x:row>
    <x:row r="21" ht="42" customHeight="1">
      <x:c r="A21" s="21" t="str">
        <x:v>jiangwei</x:v>
      </x:c>
      <x:c r="B21" s="21" t="str">
        <x:v>姜维</x:v>
      </x:c>
      <x:c r="C21" s="21" t="str">
        <x:v>Jiang Wei</x:v>
      </x:c>
      <x:c r="D21" s="34" t="str">
        <x:v>蜀</x:v>
      </x:c>
      <x:c r="E21" s="21" t="str">
        <x:v>坦克 / 法师</x:v>
      </x:c>
      <x:c r="F21" s="24" t="n">
        <x:v>1200</x:v>
      </x:c>
      <x:c r="G21" s="24" t="n">
        <x:v>48</x:v>
      </x:c>
      <x:c r="H21" s="25" t="n">
        <x:v>3</x:v>
      </x:c>
      <x:c r="I21" s="21" t="n">
        <x:v>1</x:v>
      </x:c>
      <x:c r="J21" s="21" t="str">
        <x:v>北伐</x:v>
      </x:c>
      <x:c r="K21" s="21" t="str">
        <x:v>strike_magic</x:v>
      </x:c>
      <x:c r="L21" s="26" t="n">
        <x:v>1.6</x:v>
      </x:c>
      <x:c r="M21" s="26" t="n">
        <x:v>1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1" t="n">
        <x:v>0</x:v>
      </x:c>
      <x:c r="S21" s="21" t="n">
        <x:v>0</x:v>
      </x:c>
      <x:c r="T21" s="21" t="n">
        <x:v>20</x:v>
      </x:c>
      <x:c r="U21" s="21" t="n">
        <x:v>1</x:v>
      </x:c>
      <x:c r="V21" s="28" t="n">
        <x:f>MIN(100,F21/'评分规则'!$B$5*70+IF(I21=1,10,0)+T21+MIN(15,(O21+P21)/MAX(1,H21)/'评分规则'!$B$7*10))</x:f>
        <x:v>76.66666666666666</x:v>
      </x:c>
      <x:c r="W21" s="28" t="n">
        <x:f>MIN(100,((G21*L21*M21+N21)/MAX(1,H21))/'评分规则'!$B$6*70)</x:f>
        <x:v>19.911111111111115</x:v>
      </x:c>
      <x:c r="X21" s="28" t="n">
        <x:f>MIN(100,((O21+P21)/MAX(1,H21))/'评分规则'!$B$7*55+(Q21/MAX(1,H21))/'评分规则'!$B$8*45+R21)</x:f>
        <x:v>0</x:v>
      </x:c>
      <x:c r="Y21" s="28" t="n">
        <x:f>MIN(100,'评分规则'!$B$9/MAX(0.1,H21)*65+I21*7+S21)</x:f>
        <x:v>61.16666666666667</x:v>
      </x:c>
      <x:c r="Z21" s="28" t="n">
        <x:f>MIN(100,U21/'评分规则'!$B$10*75+25)</x:f>
        <x:v>50</x:v>
      </x:c>
      <x:c r="AA21" s="28" t="n">
        <x:f>V21*'评分规则'!$B$11+MAX(W21,X21)*'评分规则'!$B$12+MIN(W21,X21)*'评分规则'!$B$13+Y21*'评分规则'!$B$14+Z21*'评分规则'!$B$15</x:f>
        <x:v>45.531111111111116</x:v>
      </x:c>
      <x:c r="AB21" s="22" t="str">
        <x:f>IF(AA21&gt;=72,"S",IF(AA21&gt;=64,"A",IF(AA21&gt;=52,"B",IF(AA21&gt;=42,"C","D"))))</x:f>
        <x:v>C</x:v>
      </x:c>
      <x:c r="AC21" s="22" t="str">
        <x:f>IF(AA21&gt;='评分规则'!$B$16,"偏强",IF(AA21&lt;='评分规则'!$B$17,"偏弱","合理"))</x:f>
        <x:v>合理</x:v>
      </x:c>
      <x:c r="AD21" s="22" t="str">
        <x:f>B21&amp;"：生存"&amp;ROUND(V21,0)&amp;" / 输出"&amp;ROUND(W21,0)&amp;" / 功能"&amp;ROUND(X21,0)&amp;" / 节奏"&amp;ROUND(Y21,0)&amp;" / 羁绊"&amp;ROUND(Z21,0)&amp;"。主要优势在"&amp;IF(MAX(V21:Z21)=V21,"身板",IF(MAX(V21:Z21)=W21,"输出",IF(MAX(V21:Z21)=X21,"功能",IF(MAX(V21:Z21)=Y21,"节奏","构筑兼容"))))&amp;"。"</x:f>
        <x:v>姜维：生存77 / 输出20 / 功能0 / 节奏61 / 羁绊50。主要优势在身板。</x:v>
      </x:c>
      <x:c r="AE21" s="22" t="str">
        <x:f>IF(AC21="偏强","建议先下调"&amp;IF(MAX(V21:Z21)=W21,"技能系数或目标数",IF(MAX(V21:Z21)=Y21,"行动条收益或读条速度",IF(MAX(V21:Z21)=X21,"控制/治疗/护盾强度","最高分项约5%~10%")))&amp;"，再做镜像对战验证。",IF(AC21="偏弱","建议优先补足"&amp;IF(MAX(W21,X21)=W21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21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</x:v>
      </x:c>
      <x:c r="AG21" s="23" t="str">
        <x:v>{"base_value":77,"mult":1.6}</x:v>
      </x:c>
    </x:row>
    <x:row r="22" ht="42" customHeight="1">
      <x:c r="A22" s="21" t="str">
        <x:v>liubei</x:v>
      </x:c>
      <x:c r="B22" s="21" t="str">
        <x:v>刘备</x:v>
      </x:c>
      <x:c r="C22" s="21" t="str">
        <x:v>Liu Bei</x:v>
      </x:c>
      <x:c r="D22" s="34" t="str">
        <x:v>蜀</x:v>
      </x:c>
      <x:c r="E22" s="21" t="str">
        <x:v>治疗 / 辅助</x:v>
      </x:c>
      <x:c r="F22" s="24" t="n">
        <x:v>1040</x:v>
      </x:c>
      <x:c r="G22" s="24" t="n">
        <x:v>32</x:v>
      </x:c>
      <x:c r="H22" s="25" t="n">
        <x:v>3</x:v>
      </x:c>
      <x:c r="I22" s="21" t="n">
        <x:v>3</x:v>
      </x:c>
      <x:c r="J22" s="21" t="str">
        <x:v>仁德</x:v>
      </x:c>
      <x:c r="K22" s="21" t="str">
        <x:v>专属实现</x:v>
      </x:c>
      <x:c r="L22" s="26" t="n">
        <x:v>0</x:v>
      </x:c>
      <x:c r="M22" s="26" t="n">
        <x:v>1</x:v>
      </x:c>
      <x:c r="N22" s="27" t="n">
        <x:v>0</x:v>
      </x:c>
      <x:c r="O22" s="27" t="n">
        <x:v>384</x:v>
      </x:c>
      <x:c r="P22" s="27" t="n">
        <x:v>0</x:v>
      </x:c>
      <x:c r="Q22" s="27" t="n">
        <x:v>0</x:v>
      </x:c>
      <x:c r="R22" s="21" t="n">
        <x:v>18</x:v>
      </x:c>
      <x:c r="S22" s="21" t="n">
        <x:v>0</x:v>
      </x:c>
      <x:c r="T22" s="21" t="n">
        <x:v>0</x:v>
      </x:c>
      <x:c r="U22" s="21" t="n">
        <x:v>4</x:v>
      </x:c>
      <x:c r="V22" s="28" t="n">
        <x:f>MIN(100,F22/'评分规则'!$B$5*70+IF(I22=1,10,0)+T22+MIN(15,(O22+P22)/MAX(1,H22)/'评分规则'!$B$7*10))</x:f>
        <x:v>48.44444444444444</x:v>
      </x:c>
      <x:c r="W22" s="28" t="n">
        <x:f>MIN(100,((G22*L22*M22+N22)/MAX(1,H22))/'评分规则'!$B$6*70)</x:f>
        <x:v>0</x:v>
      </x:c>
      <x:c r="X22" s="28" t="n">
        <x:f>MIN(100,((O22+P22)/MAX(1,H22))/'评分规则'!$B$7*55+(Q22/MAX(1,H22))/'评分规则'!$B$8*45+R22)</x:f>
        <x:v>62</x:v>
      </x:c>
      <x:c r="Y22" s="28" t="n">
        <x:f>MIN(100,'评分规则'!$B$9/MAX(0.1,H22)*65+I22*7+S22)</x:f>
        <x:v>75.16666666666667</x:v>
      </x:c>
      <x:c r="Z22" s="28" t="n">
        <x:f>MIN(100,U22/'评分规则'!$B$10*75+25)</x:f>
        <x:v>100</x:v>
      </x:c>
      <x:c r="AA22" s="28" t="n">
        <x:f>V22*'评分规则'!$B$11+MAX(W22,X22)*'评分规则'!$B$12+MIN(W22,X22)*'评分规则'!$B$13+Y22*'评分规则'!$B$14+Z22*'评分规则'!$B$15</x:f>
        <x:v>69.52222222222223</x:v>
      </x:c>
      <x:c r="AB22" s="22" t="str">
        <x:f>IF(AA22&gt;=72,"S",IF(AA22&gt;=64,"A",IF(AA22&gt;=52,"B",IF(AA22&gt;=42,"C","D"))))</x:f>
        <x:v>A</x:v>
      </x:c>
      <x:c r="AC22" s="22" t="str">
        <x:f>IF(AA22&gt;='评分规则'!$B$16,"偏强",IF(AA22&lt;='评分规则'!$B$17,"偏弱","合理"))</x:f>
        <x:v>偏强</x:v>
      </x:c>
      <x:c r="AD22" s="22" t="str">
        <x:f>B22&amp;"：生存"&amp;ROUND(V22,0)&amp;" / 输出"&amp;ROUND(W22,0)&amp;" / 功能"&amp;ROUND(X22,0)&amp;" / 节奏"&amp;ROUND(Y22,0)&amp;" / 羁绊"&amp;ROUND(Z22,0)&amp;"。主要优势在"&amp;IF(MAX(V22:Z22)=V22,"身板",IF(MAX(V22:Z22)=W22,"输出",IF(MAX(V22:Z22)=X22,"功能",IF(MAX(V22:Z22)=Y22,"节奏","构筑兼容"))))&amp;"。"</x:f>
        <x:v>刘备：生存48 / 输出0 / 功能62 / 节奏75 / 羁绊100。主要优势在构筑兼容。</x:v>
      </x:c>
      <x:c r="AE22" s="22" t="str">
        <x:f>IF(AC22="偏强","建议先下调"&amp;IF(MAX(V22:Z22)=W22,"技能系数或目标数",IF(MAX(V22:Z22)=Y22,"行动条收益或读条速度",IF(MAX(V22:Z22)=X22,"控制/治疗/护盾强度","最高分项约5%~10%")))&amp;"，再做镜像对战验证。",IF(AC22="偏弱","建议优先补足"&amp;IF(MAX(W22,X22)=W22,"技能输出或目标效率","治疗/护盾/控制覆盖率")&amp;"，单次调整控制在5%~12%。","当前静态评分处于合理区间；保持数值，重点监控羁绊阵容中的放大效应。"))</x:f>
        <x:v>建议先下调最高分项约5%~10%，再做镜像对战验证。</x:v>
      </x:c>
      <x:c r="AF22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桃园结义（刘备、关羽、张飞）：持续治疗由每秒200%攻击提高为300%攻击。
夜梦北斗（刘备、刘禅）：持续治疗由6秒延长50%至9秒。
卧龙辅汉（刘备、诸葛亮）：持续治疗中的目标受到的法术伤害降低20%。</x:v>
      </x:c>
      <x:c r="AG22" s="23" t="str">
        <x:v>{"base_value":32}</x:v>
      </x:c>
    </x:row>
    <x:row r="23" ht="42" customHeight="1">
      <x:c r="A23" s="21" t="str">
        <x:v>liushan</x:v>
      </x:c>
      <x:c r="B23" s="21" t="str">
        <x:v>刘禅</x:v>
      </x:c>
      <x:c r="C23" s="21" t="str">
        <x:v>Liu Shan</x:v>
      </x:c>
      <x:c r="D23" s="34" t="str">
        <x:v>蜀</x:v>
      </x:c>
      <x:c r="E23" s="21" t="str">
        <x:v>辅助</x:v>
      </x:c>
      <x:c r="F23" s="24" t="n">
        <x:v>780</x:v>
      </x:c>
      <x:c r="G23" s="24" t="n">
        <x:v>31</x:v>
      </x:c>
      <x:c r="H23" s="25" t="n">
        <x:v>2.5</x:v>
      </x:c>
      <x:c r="I23" s="21" t="n">
        <x:v>2</x:v>
      </x:c>
      <x:c r="J23" s="21" t="str">
        <x:v>蜀主鼓舞</x:v>
      </x:c>
      <x:c r="K23" s="21" t="str">
        <x:v>buff_column</x:v>
      </x:c>
      <x:c r="L23" s="26" t="n">
        <x:v>0</x:v>
      </x:c>
      <x:c r="M23" s="26" t="n">
        <x:v>1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1" t="n">
        <x:v>70</x:v>
      </x:c>
      <x:c r="S23" s="21" t="n">
        <x:v>0</x:v>
      </x:c>
      <x:c r="T23" s="21" t="n">
        <x:v>0</x:v>
      </x:c>
      <x:c r="U23" s="21" t="n">
        <x:v>3</x:v>
      </x:c>
      <x:c r="V23" s="28" t="n">
        <x:f>MIN(100,F23/'评分规则'!$B$5*70+IF(I23=1,10,0)+T23+MIN(15,(O23+P23)/MAX(1,H23)/'评分规则'!$B$7*10))</x:f>
        <x:v>30.333333333333336</x:v>
      </x:c>
      <x:c r="W23" s="28" t="n">
        <x:f>MIN(100,((G23*L23*M23+N23)/MAX(1,H23))/'评分规则'!$B$6*70)</x:f>
        <x:v>0</x:v>
      </x:c>
      <x:c r="X23" s="28" t="n">
        <x:f>MIN(100,((O23+P23)/MAX(1,H23))/'评分规则'!$B$7*55+(Q23/MAX(1,H23))/'评分规则'!$B$8*45+R23)</x:f>
        <x:v>70</x:v>
      </x:c>
      <x:c r="Y23" s="28" t="n">
        <x:f>MIN(100,'评分规则'!$B$9/MAX(0.1,H23)*65+I23*7+S23)</x:f>
        <x:v>79</x:v>
      </x:c>
      <x:c r="Z23" s="28" t="n">
        <x:f>MIN(100,U23/'评分规则'!$B$10*75+25)</x:f>
        <x:v>100</x:v>
      </x:c>
      <x:c r="AA23" s="28" t="n">
        <x:f>V23*'评分规则'!$B$11+MAX(W23,X23)*'评分规则'!$B$12+MIN(W23,X23)*'评分规则'!$B$13+Y23*'评分规则'!$B$14+Z23*'评分规则'!$B$15</x:f>
        <x:v>69.86666666666667</x:v>
      </x:c>
      <x:c r="AB23" s="22" t="str">
        <x:f>IF(AA23&gt;=72,"S",IF(AA23&gt;=64,"A",IF(AA23&gt;=52,"B",IF(AA23&gt;=42,"C","D"))))</x:f>
        <x:v>A</x:v>
      </x:c>
      <x:c r="AC23" s="22" t="str">
        <x:f>IF(AA23&gt;='评分规则'!$B$16,"偏强",IF(AA23&lt;='评分规则'!$B$17,"偏弱","合理"))</x:f>
        <x:v>偏强</x:v>
      </x:c>
      <x:c r="AD23" s="22" t="str">
        <x:f>B23&amp;"：生存"&amp;ROUND(V23,0)&amp;" / 输出"&amp;ROUND(W23,0)&amp;" / 功能"&amp;ROUND(X23,0)&amp;" / 节奏"&amp;ROUND(Y23,0)&amp;" / 羁绊"&amp;ROUND(Z23,0)&amp;"。主要优势在"&amp;IF(MAX(V23:Z23)=V23,"身板",IF(MAX(V23:Z23)=W23,"输出",IF(MAX(V23:Z23)=X23,"功能",IF(MAX(V23:Z23)=Y23,"节奏","构筑兼容"))))&amp;"。"</x:f>
        <x:v>刘禅：生存30 / 输出0 / 功能70 / 节奏79 / 羁绊100。主要优势在构筑兼容。</x:v>
      </x:c>
      <x:c r="AE23" s="22" t="str">
        <x:f>IF(AC23="偏强","建议先下调"&amp;IF(MAX(V23:Z23)=W23,"技能系数或目标数",IF(MAX(V23:Z23)=Y23,"行动条收益或读条速度",IF(MAX(V23:Z23)=X23,"控制/治疗/护盾强度","最高分项约5%~10%")))&amp;"，再做镜像对战验证。",IF(AC23="偏弱","建议优先补足"&amp;IF(MAX(W23,X23)=W23,"技能输出或目标效率","治疗/护盾/控制覆盖率")&amp;"，单次调整控制在5%~12%。","当前静态评分处于合理区间；保持数值，重点监控羁绊阵容中的放大效应。"))</x:f>
        <x:v>建议先下调最高分项约5%~10%，再做镜像对战验证。</x:v>
      </x:c>
      <x:c r="AF23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夜梦北斗（刘备、刘禅）：蜀主鼓舞额外作用于同列后排友军。
七进七出（赵云、刘禅）：蜀主鼓舞的目标额外获得30%全能吸血，造成任意伤害均可回复自身。</x:v>
      </x:c>
      <x:c r="AG23" s="23" t="str">
        <x:v>{"damage":0.25}</x:v>
      </x:c>
    </x:row>
    <x:row r="24" ht="42" customHeight="1">
      <x:c r="A24" s="21" t="str">
        <x:v>machao</x:v>
      </x:c>
      <x:c r="B24" s="21" t="str">
        <x:v>马超</x:v>
      </x:c>
      <x:c r="C24" s="21" t="str">
        <x:v>Ma Chao</x:v>
      </x:c>
      <x:c r="D24" s="34" t="str">
        <x:v>蜀</x:v>
      </x:c>
      <x:c r="E24" s="21" t="str">
        <x:v>战士 / 爆发</x:v>
      </x:c>
      <x:c r="F24" s="24" t="n">
        <x:v>1000</x:v>
      </x:c>
      <x:c r="G24" s="24" t="n">
        <x:v>55</x:v>
      </x:c>
      <x:c r="H24" s="25" t="n">
        <x:v>2.9</x:v>
      </x:c>
      <x:c r="I24" s="21" t="n">
        <x:v>2</x:v>
      </x:c>
      <x:c r="J24" s="21" t="str">
        <x:v>西凉铁骑</x:v>
      </x:c>
      <x:c r="K24" s="21" t="str">
        <x:v>strike</x:v>
      </x:c>
      <x:c r="L24" s="26" t="n">
        <x:v>1.71</x:v>
      </x:c>
      <x:c r="M24" s="26" t="n">
        <x:v>1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1" t="n">
        <x:v>0</x:v>
      </x:c>
      <x:c r="S24" s="21" t="n">
        <x:v>0</x:v>
      </x:c>
      <x:c r="T24" s="21" t="n">
        <x:v>8</x:v>
      </x:c>
      <x:c r="U24" s="21" t="n">
        <x:v>2</x:v>
      </x:c>
      <x:c r="V24" s="28" t="n">
        <x:f>MIN(100,F24/'评分规则'!$B$5*70+IF(I24=1,10,0)+T24+MIN(15,(O24+P24)/MAX(1,H24)/'评分规则'!$B$7*10))</x:f>
        <x:v>46.88888888888889</x:v>
      </x:c>
      <x:c r="W24" s="28" t="n">
        <x:f>MIN(100,((G24*L24*M24+N24)/MAX(1,H24))/'评分规则'!$B$6*70)</x:f>
        <x:v>25.224137931034484</x:v>
      </x:c>
      <x:c r="X24" s="28" t="n">
        <x:f>MIN(100,((O24+P24)/MAX(1,H24))/'评分规则'!$B$7*55+(Q24/MAX(1,H24))/'评分规则'!$B$8*45+R24)</x:f>
        <x:v>0</x:v>
      </x:c>
      <x:c r="Y24" s="28" t="n">
        <x:f>MIN(100,'评分规则'!$B$9/MAX(0.1,H24)*65+I24*7+S24)</x:f>
        <x:v>70.0344827586207</x:v>
      </x:c>
      <x:c r="Z24" s="28" t="n">
        <x:f>MIN(100,U24/'评分规则'!$B$10*75+25)</x:f>
        <x:v>75</x:v>
      </x:c>
      <x:c r="AA24" s="28" t="n">
        <x:f>V24*'评分规则'!$B$11+MAX(W24,X24)*'评分规则'!$B$12+MIN(W24,X24)*'评分规则'!$B$13+Y24*'评分规则'!$B$14+Z24*'评分规则'!$B$15</x:f>
        <x:v>48.47432950191571</x:v>
      </x:c>
      <x:c r="AB24" s="22" t="str">
        <x:f>IF(AA24&gt;=72,"S",IF(AA24&gt;=64,"A",IF(AA24&gt;=52,"B",IF(AA24&gt;=42,"C","D"))))</x:f>
        <x:v>C</x:v>
      </x:c>
      <x:c r="AC24" s="22" t="str">
        <x:f>IF(AA24&gt;='评分规则'!$B$16,"偏强",IF(AA24&lt;='评分规则'!$B$17,"偏弱","合理"))</x:f>
        <x:v>合理</x:v>
      </x:c>
      <x:c r="AD24" s="22" t="str">
        <x:f>B24&amp;"：生存"&amp;ROUND(V24,0)&amp;" / 输出"&amp;ROUND(W24,0)&amp;" / 功能"&amp;ROUND(X24,0)&amp;" / 节奏"&amp;ROUND(Y24,0)&amp;" / 羁绊"&amp;ROUND(Z24,0)&amp;"。主要优势在"&amp;IF(MAX(V24:Z24)=V24,"身板",IF(MAX(V24:Z24)=W24,"输出",IF(MAX(V24:Z24)=X24,"功能",IF(MAX(V24:Z24)=Y24,"节奏","构筑兼容"))))&amp;"。"</x:f>
        <x:v>马超：生存47 / 输出25 / 功能0 / 节奏70 / 羁绊75。主要优势在构筑兼容。</x:v>
      </x:c>
      <x:c r="AE24" s="22" t="str">
        <x:f>IF(AC24="偏强","建议先下调"&amp;IF(MAX(V24:Z24)=W24,"技能系数或目标数",IF(MAX(V24:Z24)=Y24,"行动条收益或读条速度",IF(MAX(V24:Z24)=X24,"控制/治疗/护盾强度","最高分项约5%~10%")))&amp;"，再做镜像对战验证。",IF(AC24="偏弱","建议优先补足"&amp;IF(MAX(W24,X24)=W24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24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五虎上将（关羽、张飞、赵云、黄忠、马超）：突骑命中后的行动条返还由12%提高至30%。</x:v>
      </x:c>
      <x:c r="AG24" s="23" t="str">
        <x:v>{"action_refund":12,"base_value":94,"mult":1.7,"target_mode":"farthest"}</x:v>
      </x:c>
    </x:row>
    <x:row r="25" ht="42" customHeight="1">
      <x:c r="A25" s="21" t="str">
        <x:v>madai</x:v>
      </x:c>
      <x:c r="B25" s="21" t="str">
        <x:v>马岱</x:v>
      </x:c>
      <x:c r="C25" s="21" t="str">
        <x:v>Ma Dai</x:v>
      </x:c>
      <x:c r="D25" s="34" t="str">
        <x:v>蜀</x:v>
      </x:c>
      <x:c r="E25" s="21" t="str">
        <x:v>战士 / 爆发</x:v>
      </x:c>
      <x:c r="F25" s="24" t="n">
        <x:v>860</x:v>
      </x:c>
      <x:c r="G25" s="24" t="n">
        <x:v>46</x:v>
      </x:c>
      <x:c r="H25" s="25" t="n">
        <x:v>3</x:v>
      </x:c>
      <x:c r="I25" s="21" t="n">
        <x:v>3</x:v>
      </x:c>
      <x:c r="J25" s="21" t="str">
        <x:v>潜袭冷箭</x:v>
      </x:c>
      <x:c r="K25" s="21" t="str">
        <x:v>strike</x:v>
      </x:c>
      <x:c r="L25" s="26" t="n">
        <x:v>1.26</x:v>
      </x:c>
      <x:c r="M25" s="26" t="n">
        <x:v>1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1" t="n">
        <x:v>6.3</x:v>
      </x:c>
      <x:c r="S25" s="21" t="n">
        <x:v>0</x:v>
      </x:c>
      <x:c r="T25" s="21" t="n">
        <x:v>8</x:v>
      </x:c>
      <x:c r="U25" s="21" t="n">
        <x:v>1</x:v>
      </x:c>
      <x:c r="V25" s="28" t="n">
        <x:f>MIN(100,F25/'评分规则'!$B$5*70+IF(I25=1,10,0)+T25+MIN(15,(O25+P25)/MAX(1,H25)/'评分规则'!$B$7*10))</x:f>
        <x:v>41.44444444444444</x:v>
      </x:c>
      <x:c r="W25" s="28" t="n">
        <x:f>MIN(100,((G25*L25*M25+N25)/MAX(1,H25))/'评分规则'!$B$6*70)</x:f>
        <x:v>15.026666666666667</x:v>
      </x:c>
      <x:c r="X25" s="28" t="n">
        <x:f>MIN(100,((O25+P25)/MAX(1,H25))/'评分规则'!$B$7*55+(Q25/MAX(1,H25))/'评分规则'!$B$8*45+R25)</x:f>
        <x:v>6.3</x:v>
      </x:c>
      <x:c r="Y25" s="28" t="n">
        <x:f>MIN(100,'评分规则'!$B$9/MAX(0.1,H25)*65+I25*7+S25)</x:f>
        <x:v>75.16666666666667</x:v>
      </x:c>
      <x:c r="Z25" s="28" t="n">
        <x:f>MIN(100,U25/'评分规则'!$B$10*75+25)</x:f>
        <x:v>50</x:v>
      </x:c>
      <x:c r="AA25" s="28" t="n">
        <x:f>V25*'评分规则'!$B$11+MAX(W25,X25)*'评分规则'!$B$12+MIN(W25,X25)*'评分规则'!$B$13+Y25*'评分规则'!$B$14+Z25*'评分规则'!$B$15</x:f>
        <x:v>39.33288888888889</x:v>
      </x:c>
      <x:c r="AB25" s="22" t="str">
        <x:f>IF(AA25&gt;=72,"S",IF(AA25&gt;=64,"A",IF(AA25&gt;=52,"B",IF(AA25&gt;=42,"C","D"))))</x:f>
        <x:v>D</x:v>
      </x:c>
      <x:c r="AC25" s="22" t="str">
        <x:f>IF(AA25&gt;='评分规则'!$B$16,"偏强",IF(AA25&lt;='评分规则'!$B$17,"偏弱","合理"))</x:f>
        <x:v>偏弱</x:v>
      </x:c>
      <x:c r="AD25" s="22" t="str">
        <x:f>B25&amp;"：生存"&amp;ROUND(V25,0)&amp;" / 输出"&amp;ROUND(W25,0)&amp;" / 功能"&amp;ROUND(X25,0)&amp;" / 节奏"&amp;ROUND(Y25,0)&amp;" / 羁绊"&amp;ROUND(Z25,0)&amp;"。主要优势在"&amp;IF(MAX(V25:Z25)=V25,"身板",IF(MAX(V25:Z25)=W25,"输出",IF(MAX(V25:Z25)=X25,"功能",IF(MAX(V25:Z25)=Y25,"节奏","构筑兼容"))))&amp;"。"</x:f>
        <x:v>马岱：生存41 / 输出15 / 功能6 / 节奏75 / 羁绊50。主要优势在节奏。</x:v>
      </x:c>
      <x:c r="AE25" s="22" t="str">
        <x:f>IF(AC25="偏强","建议先下调"&amp;IF(MAX(V25:Z25)=W25,"技能系数或目标数",IF(MAX(V25:Z25)=Y25,"行动条收益或读条速度",IF(MAX(V25:Z25)=X25,"控制/治疗/护盾强度","最高分项约5%~10%")))&amp;"，再做镜像对战验证。",IF(AC25="偏弱","建议优先补足"&amp;IF(MAX(W25,X25)=W25,"技能输出或目标效率","治疗/护盾/控制覆盖率")&amp;"，单次调整控制在5%~12%。","当前静态评分处于合理区间；保持数值，重点监控羁绊阵容中的放大效应。"))</x:f>
        <x:v>建议优先补足技能输出或目标效率，单次调整控制在5%~12%。</x:v>
      </x:c>
      <x:c r="AF25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</x:v>
      </x:c>
      <x:c r="AG25" s="23" t="str">
        <x:v>{"base_value":58,"mult":1.25,"target_mode":"front","vulnerable":0.14,"vulnerable_time":5}</x:v>
      </x:c>
    </x:row>
    <x:row r="26" ht="42" customHeight="1">
      <x:c r="A26" s="21" t="str">
        <x:v>menghuo</x:v>
      </x:c>
      <x:c r="B26" s="21" t="str">
        <x:v>孟获</x:v>
      </x:c>
      <x:c r="C26" s="21" t="str">
        <x:v>Meng Huo</x:v>
      </x:c>
      <x:c r="D26" s="34" t="str">
        <x:v>蜀</x:v>
      </x:c>
      <x:c r="E26" s="21" t="str">
        <x:v>坦克</x:v>
      </x:c>
      <x:c r="F26" s="24" t="n">
        <x:v>1440</x:v>
      </x:c>
      <x:c r="G26" s="24" t="n">
        <x:v>43</x:v>
      </x:c>
      <x:c r="H26" s="25" t="n">
        <x:v>3.6</x:v>
      </x:c>
      <x:c r="I26" s="21" t="n">
        <x:v>1</x:v>
      </x:c>
      <x:c r="J26" s="21" t="str">
        <x:v>蛮王震地</x:v>
      </x:c>
      <x:c r="K26" s="21" t="str">
        <x:v>row</x:v>
      </x:c>
      <x:c r="L26" s="26" t="n">
        <x:v>1.05</x:v>
      </x:c>
      <x:c r="M26" s="26" t="n">
        <x:v>2.2</x:v>
      </x:c>
      <x:c r="N26" s="27" t="n">
        <x:v>0</x:v>
      </x:c>
      <x:c r="O26" s="27" t="n">
        <x:v>0</x:v>
      </x:c>
      <x:c r="P26" s="27" t="n">
        <x:v>0</x:v>
      </x:c>
      <x:c r="Q26" s="27" t="n">
        <x:v>0.8</x:v>
      </x:c>
      <x:c r="R26" s="21" t="n">
        <x:v>0</x:v>
      </x:c>
      <x:c r="S26" s="21" t="n">
        <x:v>0</x:v>
      </x:c>
      <x:c r="T26" s="21" t="n">
        <x:v>20</x:v>
      </x:c>
      <x:c r="U26" s="21" t="n">
        <x:v>2</x:v>
      </x:c>
      <x:c r="V26" s="28" t="n">
        <x:f>MIN(100,F26/'评分规则'!$B$5*70+IF(I26=1,10,0)+T26+MIN(15,(O26+P26)/MAX(1,H26)/'评分规则'!$B$7*10))</x:f>
        <x:v>86</x:v>
      </x:c>
      <x:c r="W26" s="28" t="n">
        <x:f>MIN(100,((G26*L26*M26+N26)/MAX(1,H26))/'评分规则'!$B$6*70)</x:f>
        <x:v>21.460185185185185</x:v>
      </x:c>
      <x:c r="X26" s="28" t="n">
        <x:f>MIN(100,((O26+P26)/MAX(1,H26))/'评分规则'!$B$7*55+(Q26/MAX(1,H26))/'评分规则'!$B$8*45+R26)</x:f>
        <x:v>20</x:v>
      </x:c>
      <x:c r="Y26" s="28" t="n">
        <x:f>MIN(100,'评分规则'!$B$9/MAX(0.1,H26)*65+I26*7+S26)</x:f>
        <x:v>52.138888888888886</x:v>
      </x:c>
      <x:c r="Z26" s="28" t="n">
        <x:f>MIN(100,U26/'评分规则'!$B$10*75+25)</x:f>
        <x:v>75</x:v>
      </x:c>
      <x:c r="AA26" s="28" t="n">
        <x:f>V26*'评分规则'!$B$11+MAX(W26,X26)*'评分规则'!$B$12+MIN(W26,X26)*'评分规则'!$B$13+Y26*'评分规则'!$B$14+Z26*'评分规则'!$B$15</x:f>
        <x:v>51.21185185185185</x:v>
      </x:c>
      <x:c r="AB26" s="22" t="str">
        <x:f>IF(AA26&gt;=72,"S",IF(AA26&gt;=64,"A",IF(AA26&gt;=52,"B",IF(AA26&gt;=42,"C","D"))))</x:f>
        <x:v>C</x:v>
      </x:c>
      <x:c r="AC26" s="22" t="str">
        <x:f>IF(AA26&gt;='评分规则'!$B$16,"偏强",IF(AA26&lt;='评分规则'!$B$17,"偏弱","合理"))</x:f>
        <x:v>合理</x:v>
      </x:c>
      <x:c r="AD26" s="22" t="str">
        <x:f>B26&amp;"：生存"&amp;ROUND(V26,0)&amp;" / 输出"&amp;ROUND(W26,0)&amp;" / 功能"&amp;ROUND(X26,0)&amp;" / 节奏"&amp;ROUND(Y26,0)&amp;" / 羁绊"&amp;ROUND(Z26,0)&amp;"。主要优势在"&amp;IF(MAX(V26:Z26)=V26,"身板",IF(MAX(V26:Z26)=W26,"输出",IF(MAX(V26:Z26)=X26,"功能",IF(MAX(V26:Z26)=Y26,"节奏","构筑兼容"))))&amp;"。"</x:f>
        <x:v>孟获：生存86 / 输出21 / 功能20 / 节奏52 / 羁绊75。主要优势在身板。</x:v>
      </x:c>
      <x:c r="AE26" s="22" t="str">
        <x:f>IF(AC26="偏强","建议先下调"&amp;IF(MAX(V26:Z26)=W26,"技能系数或目标数",IF(MAX(V26:Z26)=Y26,"行动条收益或读条速度",IF(MAX(V26:Z26)=X26,"控制/治疗/护盾强度","最高分项约5%~10%")))&amp;"，再做镜像对战验证。",IF(AC26="偏弱","建议优先补足"&amp;IF(MAX(W26,X26)=W26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26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南蛮夫妇（孟获、祝融）：控制持续时间提高40%。</x:v>
      </x:c>
      <x:c r="AG26" s="23" t="str">
        <x:v>{"base_value":45,"mult":1.05,"stun":0.8}</x:v>
      </x:c>
    </x:row>
    <x:row r="27" ht="42" customHeight="1">
      <x:c r="A27" s="21" t="str">
        <x:v>pangtong</x:v>
      </x:c>
      <x:c r="B27" s="21" t="str">
        <x:v>庞统</x:v>
      </x:c>
      <x:c r="C27" s="21" t="str">
        <x:v>Pang Tong</x:v>
      </x:c>
      <x:c r="D27" s="34" t="str">
        <x:v>蜀</x:v>
      </x:c>
      <x:c r="E27" s="21" t="str">
        <x:v>法师 / 控制</x:v>
      </x:c>
      <x:c r="F27" s="24" t="n">
        <x:v>740</x:v>
      </x:c>
      <x:c r="G27" s="24" t="n">
        <x:v>38</x:v>
      </x:c>
      <x:c r="H27" s="25" t="n">
        <x:v>3.8</x:v>
      </x:c>
      <x:c r="I27" s="21" t="n">
        <x:v>3</x:v>
      </x:c>
      <x:c r="J27" s="21" t="str">
        <x:v>连环计</x:v>
      </x:c>
      <x:c r="K27" s="21" t="str">
        <x:v>control</x:v>
      </x:c>
      <x:c r="L27" s="26" t="n">
        <x:v>0.79</x:v>
      </x:c>
      <x:c r="M27" s="26" t="n">
        <x:v>1</x:v>
      </x:c>
      <x:c r="N27" s="27" t="n">
        <x:v>0</x:v>
      </x:c>
      <x:c r="O27" s="27" t="n">
        <x:v>0</x:v>
      </x:c>
      <x:c r="P27" s="27" t="n">
        <x:v>0</x:v>
      </x:c>
      <x:c r="Q27" s="27" t="n">
        <x:v>2</x:v>
      </x:c>
      <x:c r="R27" s="21" t="n">
        <x:v>0</x:v>
      </x:c>
      <x:c r="S27" s="21" t="n">
        <x:v>0</x:v>
      </x:c>
      <x:c r="T27" s="21" t="n">
        <x:v>0</x:v>
      </x:c>
      <x:c r="U27" s="21" t="n">
        <x:v>2</x:v>
      </x:c>
      <x:c r="V27" s="28" t="n">
        <x:f>MIN(100,F27/'评分规则'!$B$5*70+IF(I27=1,10,0)+T27+MIN(15,(O27+P27)/MAX(1,H27)/'评分规则'!$B$7*10))</x:f>
        <x:v>28.777777777777775</x:v>
      </x:c>
      <x:c r="W27" s="28" t="n">
        <x:f>MIN(100,((G27*L27*M27+N27)/MAX(1,H27))/'评分规则'!$B$6*70)</x:f>
        <x:v>6.144444444444445</x:v>
      </x:c>
      <x:c r="X27" s="28" t="n">
        <x:f>MIN(100,((O27+P27)/MAX(1,H27))/'评分规则'!$B$7*55+(Q27/MAX(1,H27))/'评分规则'!$B$8*45+R27)</x:f>
        <x:v>47.368421052631575</x:v>
      </x:c>
      <x:c r="Y27" s="28" t="n">
        <x:f>MIN(100,'评分规则'!$B$9/MAX(0.1,H27)*65+I27*7+S27)</x:f>
        <x:v>63.76315789473684</x:v>
      </x:c>
      <x:c r="Z27" s="28" t="n">
        <x:f>MIN(100,U27/'评分规则'!$B$10*75+25)</x:f>
        <x:v>75</x:v>
      </x:c>
      <x:c r="AA27" s="28" t="n">
        <x:f>V27*'评分规则'!$B$11+MAX(W27,X27)*'评分规则'!$B$12+MIN(W27,X27)*'评分规则'!$B$13+Y27*'评分规则'!$B$14+Z27*'评分规则'!$B$15</x:f>
        <x:v>52.455555555555556</x:v>
      </x:c>
      <x:c r="AB27" s="22" t="str">
        <x:f>IF(AA27&gt;=72,"S",IF(AA27&gt;=64,"A",IF(AA27&gt;=52,"B",IF(AA27&gt;=42,"C","D"))))</x:f>
        <x:v>B</x:v>
      </x:c>
      <x:c r="AC27" s="22" t="str">
        <x:f>IF(AA27&gt;='评分规则'!$B$16,"偏强",IF(AA27&lt;='评分规则'!$B$17,"偏弱","合理"))</x:f>
        <x:v>合理</x:v>
      </x:c>
      <x:c r="AD27" s="22" t="str">
        <x:f>B27&amp;"：生存"&amp;ROUND(V27,0)&amp;" / 输出"&amp;ROUND(W27,0)&amp;" / 功能"&amp;ROUND(X27,0)&amp;" / 节奏"&amp;ROUND(Y27,0)&amp;" / 羁绊"&amp;ROUND(Z27,0)&amp;"。主要优势在"&amp;IF(MAX(V27:Z27)=V27,"身板",IF(MAX(V27:Z27)=W27,"输出",IF(MAX(V27:Z27)=X27,"功能",IF(MAX(V27:Z27)=Y27,"节奏","构筑兼容"))))&amp;"。"</x:f>
        <x:v>庞统：生存29 / 输出6 / 功能47 / 节奏64 / 羁绊75。主要优势在构筑兼容。</x:v>
      </x:c>
      <x:c r="AE27" s="22" t="str">
        <x:f>IF(AC27="偏强","建议先下调"&amp;IF(MAX(V27:Z27)=W27,"技能系数或目标数",IF(MAX(V27:Z27)=Y27,"行动条收益或读条速度",IF(MAX(V27:Z27)=X27,"控制/治疗/护盾强度","最高分项约5%~10%")))&amp;"，再做镜像对战验证。",IF(AC27="偏弱","建议优先补足"&amp;IF(MAX(W27,X27)=W27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27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卧龙凤雏（诸葛亮、庞统）：控制持续时间提高50%。</x:v>
      </x:c>
      <x:c r="AG27" s="23" t="str">
        <x:v>{"base_value":30,"mult":0.8,"stun":2}</x:v>
      </x:c>
    </x:row>
    <x:row r="28" ht="42" customHeight="1">
      <x:c r="A28" s="21" t="str">
        <x:v>weiyan</x:v>
      </x:c>
      <x:c r="B28" s="21" t="str">
        <x:v>魏延</x:v>
      </x:c>
      <x:c r="C28" s="21" t="str">
        <x:v>Wei Yan</x:v>
      </x:c>
      <x:c r="D28" s="34" t="str">
        <x:v>蜀</x:v>
      </x:c>
      <x:c r="E28" s="21" t="str">
        <x:v>坦克 / 收割</x:v>
      </x:c>
      <x:c r="F28" s="24" t="n">
        <x:v>1260</x:v>
      </x:c>
      <x:c r="G28" s="24" t="n">
        <x:v>50</x:v>
      </x:c>
      <x:c r="H28" s="25" t="n">
        <x:v>2.9</x:v>
      </x:c>
      <x:c r="I28" s="21" t="n">
        <x:v>1</x:v>
      </x:c>
      <x:c r="J28" s="21" t="str">
        <x:v>狂骨</x:v>
      </x:c>
      <x:c r="K28" s="21" t="str">
        <x:v>drain</x:v>
      </x:c>
      <x:c r="L28" s="26" t="n">
        <x:v>1.5</x:v>
      </x:c>
      <x:c r="M28" s="26" t="n">
        <x:v>1</x:v>
      </x:c>
      <x:c r="N28" s="27" t="n">
        <x:v>0</x:v>
      </x:c>
      <x:c r="O28" s="27" t="n">
        <x:v>0</x:v>
      </x:c>
      <x:c r="P28" s="27" t="n">
        <x:v>0</x:v>
      </x:c>
      <x:c r="Q28" s="27" t="n">
        <x:v>0</x:v>
      </x:c>
      <x:c r="R28" s="21" t="n">
        <x:v>0</x:v>
      </x:c>
      <x:c r="S28" s="21" t="n">
        <x:v>0</x:v>
      </x:c>
      <x:c r="T28" s="21" t="n">
        <x:v>20</x:v>
      </x:c>
      <x:c r="U28" s="21" t="n">
        <x:v>2</x:v>
      </x:c>
      <x:c r="V28" s="28" t="n">
        <x:f>MIN(100,F28/'评分规则'!$B$5*70+IF(I28=1,10,0)+T28+MIN(15,(O28+P28)/MAX(1,H28)/'评分规则'!$B$7*10))</x:f>
        <x:v>79</x:v>
      </x:c>
      <x:c r="W28" s="28" t="n">
        <x:f>MIN(100,((G28*L28*M28+N28)/MAX(1,H28))/'评分规则'!$B$6*70)</x:f>
        <x:v>20.114942528735632</x:v>
      </x:c>
      <x:c r="X28" s="28" t="n">
        <x:f>MIN(100,((O28+P28)/MAX(1,H28))/'评分规则'!$B$7*55+(Q28/MAX(1,H28))/'评分规则'!$B$8*45+R28)</x:f>
        <x:v>0</x:v>
      </x:c>
      <x:c r="Y28" s="28" t="n">
        <x:f>MIN(100,'评分规则'!$B$9/MAX(0.1,H28)*65+I28*7+S28)</x:f>
        <x:v>63.03448275862069</x:v>
      </x:c>
      <x:c r="Z28" s="28" t="n">
        <x:f>MIN(100,U28/'评分规则'!$B$10*75+25)</x:f>
        <x:v>75</x:v>
      </x:c>
      <x:c r="AA28" s="28" t="n">
        <x:f>V28*'评分规则'!$B$11+MAX(W28,X28)*'评分规则'!$B$12+MIN(W28,X28)*'评分规则'!$B$13+Y28*'评分规则'!$B$14+Z28*'评分规则'!$B$15</x:f>
        <x:v>51.4528735632184</x:v>
      </x:c>
      <x:c r="AB28" s="22" t="str">
        <x:f>IF(AA28&gt;=72,"S",IF(AA28&gt;=64,"A",IF(AA28&gt;=52,"B",IF(AA28&gt;=42,"C","D"))))</x:f>
        <x:v>C</x:v>
      </x:c>
      <x:c r="AC28" s="22" t="str">
        <x:f>IF(AA28&gt;='评分规则'!$B$16,"偏强",IF(AA28&lt;='评分规则'!$B$17,"偏弱","合理"))</x:f>
        <x:v>合理</x:v>
      </x:c>
      <x:c r="AD28" s="22" t="str">
        <x:f>B28&amp;"：生存"&amp;ROUND(V28,0)&amp;" / 输出"&amp;ROUND(W28,0)&amp;" / 功能"&amp;ROUND(X28,0)&amp;" / 节奏"&amp;ROUND(Y28,0)&amp;" / 羁绊"&amp;ROUND(Z28,0)&amp;"。主要优势在"&amp;IF(MAX(V28:Z28)=V28,"身板",IF(MAX(V28:Z28)=W28,"输出",IF(MAX(V28:Z28)=X28,"功能",IF(MAX(V28:Z28)=Y28,"节奏","构筑兼容"))))&amp;"。"</x:f>
        <x:v>魏延：生存79 / 输出20 / 功能0 / 节奏63 / 羁绊75。主要优势在身板。</x:v>
      </x:c>
      <x:c r="AE28" s="22" t="str">
        <x:f>IF(AC28="偏强","建议先下调"&amp;IF(MAX(V28:Z28)=W28,"技能系数或目标数",IF(MAX(V28:Z28)=Y28,"行动条收益或读条速度",IF(MAX(V28:Z28)=X28,"控制/治疗/护盾强度","最高分项约5%~10%")))&amp;"，再做镜像对战验证。",IF(AC28="偏弱","建议优先补足"&amp;IF(MAX(W28,X28)=W28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28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飞火流星（黄忠、魏延）：使黄忠的百步穿杨获得50%概率的200%暴击。</x:v>
      </x:c>
      <x:c r="AG28" s="23" t="str">
        <x:v>{"base_value":75,"heal":0.35,"mult":1.5}</x:v>
      </x:c>
    </x:row>
    <x:row r="29" ht="42" customHeight="1">
      <x:c r="A29" s="21" t="str">
        <x:v>zhangfei</x:v>
      </x:c>
      <x:c r="B29" s="21" t="str">
        <x:v>张飞</x:v>
      </x:c>
      <x:c r="C29" s="21" t="str">
        <x:v>Zhang Fei</x:v>
      </x:c>
      <x:c r="D29" s="34" t="str">
        <x:v>蜀</x:v>
      </x:c>
      <x:c r="E29" s="21" t="str">
        <x:v>坦克 / 辅助</x:v>
      </x:c>
      <x:c r="F29" s="24" t="n">
        <x:v>1560</x:v>
      </x:c>
      <x:c r="G29" s="24" t="n">
        <x:v>44</x:v>
      </x:c>
      <x:c r="H29" s="25" t="n">
        <x:v>3</x:v>
      </x:c>
      <x:c r="I29" s="21" t="n">
        <x:v>2</x:v>
      </x:c>
      <x:c r="J29" s="21" t="str">
        <x:v>燕人怒吼</x:v>
      </x:c>
      <x:c r="K29" s="21" t="str">
        <x:v>专属实现</x:v>
      </x:c>
      <x:c r="L29" s="26" t="n">
        <x:v>0</x:v>
      </x:c>
      <x:c r="M29" s="26" t="n">
        <x:v>4</x:v>
      </x:c>
      <x:c r="N29" s="27" t="n">
        <x:v>0</x:v>
      </x:c>
      <x:c r="O29" s="27" t="n">
        <x:v>0</x:v>
      </x:c>
      <x:c r="P29" s="27" t="n">
        <x:v>0</x:v>
      </x:c>
      <x:c r="Q29" s="27" t="n">
        <x:v>0</x:v>
      </x:c>
      <x:c r="R29" s="21" t="n">
        <x:v>65</x:v>
      </x:c>
      <x:c r="S29" s="21" t="n">
        <x:v>0</x:v>
      </x:c>
      <x:c r="T29" s="21" t="n">
        <x:v>20</x:v>
      </x:c>
      <x:c r="U29" s="21" t="n">
        <x:v>3</x:v>
      </x:c>
      <x:c r="V29" s="28" t="n">
        <x:f>MIN(100,F29/'评分规则'!$B$5*70+IF(I29=1,10,0)+T29+MIN(15,(O29+P29)/MAX(1,H29)/'评分规则'!$B$7*10))</x:f>
        <x:v>80.66666666666667</x:v>
      </x:c>
      <x:c r="W29" s="28" t="n">
        <x:f>MIN(100,((G29*L29*M29+N29)/MAX(1,H29))/'评分规则'!$B$6*70)</x:f>
        <x:v>0</x:v>
      </x:c>
      <x:c r="X29" s="28" t="n">
        <x:f>MIN(100,((O29+P29)/MAX(1,H29))/'评分规则'!$B$7*55+(Q29/MAX(1,H29))/'评分规则'!$B$8*45+R29)</x:f>
        <x:v>65</x:v>
      </x:c>
      <x:c r="Y29" s="28" t="n">
        <x:f>MIN(100,'评分规则'!$B$9/MAX(0.1,H29)*65+I29*7+S29)</x:f>
        <x:v>68.16666666666667</x:v>
      </x:c>
      <x:c r="Z29" s="28" t="n">
        <x:f>MIN(100,U29/'评分规则'!$B$10*75+25)</x:f>
        <x:v>100</x:v>
      </x:c>
      <x:c r="AA29" s="28" t="n">
        <x:f>V29*'评分规则'!$B$11+MAX(W29,X29)*'评分规则'!$B$12+MIN(W29,X29)*'评分规则'!$B$13+Y29*'评分规则'!$B$14+Z29*'评分规则'!$B$15</x:f>
        <x:v>75.76666666666668</x:v>
      </x:c>
      <x:c r="AB29" s="22" t="str">
        <x:f>IF(AA29&gt;=72,"S",IF(AA29&gt;=64,"A",IF(AA29&gt;=52,"B",IF(AA29&gt;=42,"C","D"))))</x:f>
        <x:v>S</x:v>
      </x:c>
      <x:c r="AC29" s="22" t="str">
        <x:f>IF(AA29&gt;='评分规则'!$B$16,"偏强",IF(AA29&lt;='评分规则'!$B$17,"偏弱","合理"))</x:f>
        <x:v>偏强</x:v>
      </x:c>
      <x:c r="AD29" s="22" t="str">
        <x:f>B29&amp;"：生存"&amp;ROUND(V29,0)&amp;" / 输出"&amp;ROUND(W29,0)&amp;" / 功能"&amp;ROUND(X29,0)&amp;" / 节奏"&amp;ROUND(Y29,0)&amp;" / 羁绊"&amp;ROUND(Z29,0)&amp;"。主要优势在"&amp;IF(MAX(V29:Z29)=V29,"身板",IF(MAX(V29:Z29)=W29,"输出",IF(MAX(V29:Z29)=X29,"功能",IF(MAX(V29:Z29)=Y29,"节奏","构筑兼容"))))&amp;"。"</x:f>
        <x:v>张飞：生存81 / 输出0 / 功能65 / 节奏68 / 羁绊100。主要优势在构筑兼容。</x:v>
      </x:c>
      <x:c r="AE29" s="22" t="str">
        <x:f>IF(AC29="偏强","建议先下调"&amp;IF(MAX(V29:Z29)=W29,"技能系数或目标数",IF(MAX(V29:Z29)=Y29,"行动条收益或读条速度",IF(MAX(V29:Z29)=X29,"控制/治疗/护盾强度","最高分项约5%~10%")))&amp;"，再做镜像对战验证。",IF(AC29="偏弱","建议优先补足"&amp;IF(MAX(W29,X29)=W29,"技能输出或目标效率","治疗/护盾/控制覆盖率")&amp;"，单次调整控制在5%~12%。","当前静态评分处于合理区间；保持数值，重点监控羁绊阵容中的放大效应。"))</x:f>
        <x:v>建议先下调最高分项约5%~10%，再做镜像对战验证。</x:v>
      </x:c>
      <x:c r="AF29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桃园结义（刘备、关羽、张飞）：前排增伤期间额外获得20%减伤。
五虎上将（关羽、张飞、赵云、黄忠、马超）：前排号令持续时间由3秒延长至6秒。</x:v>
      </x:c>
      <x:c r="AG29" s="23" t="str">
        <x:v>{"base_value":44}</x:v>
      </x:c>
    </x:row>
    <x:row r="30" ht="42" customHeight="1">
      <x:c r="A30" s="21" t="str">
        <x:v>zhaoyun</x:v>
      </x:c>
      <x:c r="B30" s="21" t="str">
        <x:v>赵云</x:v>
      </x:c>
      <x:c r="C30" s="21" t="str">
        <x:v>Zhao Yun</x:v>
      </x:c>
      <x:c r="D30" s="34" t="str">
        <x:v>蜀</x:v>
      </x:c>
      <x:c r="E30" s="21" t="str">
        <x:v>战士 / 爆发</x:v>
      </x:c>
      <x:c r="F30" s="24" t="n">
        <x:v>980</x:v>
      </x:c>
      <x:c r="G30" s="24" t="n">
        <x:v>54</x:v>
      </x:c>
      <x:c r="H30" s="25" t="n">
        <x:v>3</x:v>
      </x:c>
      <x:c r="I30" s="21" t="n">
        <x:v>2</x:v>
      </x:c>
      <x:c r="J30" s="21" t="str">
        <x:v>七进七出</x:v>
      </x:c>
      <x:c r="K30" s="21" t="str">
        <x:v>strike</x:v>
      </x:c>
      <x:c r="L30" s="26" t="n">
        <x:v>1.65</x:v>
      </x:c>
      <x:c r="M30" s="26" t="n">
        <x:v>1</x:v>
      </x:c>
      <x:c r="N30" s="27" t="n">
        <x:v>0</x:v>
      </x:c>
      <x:c r="O30" s="27" t="n">
        <x:v>0</x:v>
      </x:c>
      <x:c r="P30" s="27" t="n">
        <x:v>0</x:v>
      </x:c>
      <x:c r="Q30" s="27" t="n">
        <x:v>0</x:v>
      </x:c>
      <x:c r="R30" s="21" t="n">
        <x:v>0</x:v>
      </x:c>
      <x:c r="S30" s="21" t="n">
        <x:v>0</x:v>
      </x:c>
      <x:c r="T30" s="21" t="n">
        <x:v>8</x:v>
      </x:c>
      <x:c r="U30" s="21" t="n">
        <x:v>3</x:v>
      </x:c>
      <x:c r="V30" s="28" t="n">
        <x:f>MIN(100,F30/'评分规则'!$B$5*70+IF(I30=1,10,0)+T30+MIN(15,(O30+P30)/MAX(1,H30)/'评分规则'!$B$7*10))</x:f>
        <x:v>46.11111111111111</x:v>
      </x:c>
      <x:c r="W30" s="28" t="n">
        <x:f>MIN(100,((G30*L30*M30+N30)/MAX(1,H30))/'评分规则'!$B$6*70)</x:f>
        <x:v>23.1</x:v>
      </x:c>
      <x:c r="X30" s="28" t="n">
        <x:f>MIN(100,((O30+P30)/MAX(1,H30))/'评分规则'!$B$7*55+(Q30/MAX(1,H30))/'评分规则'!$B$8*45+R30)</x:f>
        <x:v>0</x:v>
      </x:c>
      <x:c r="Y30" s="28" t="n">
        <x:f>MIN(100,'评分规则'!$B$9/MAX(0.1,H30)*65+I30*7+S30)</x:f>
        <x:v>68.16666666666667</x:v>
      </x:c>
      <x:c r="Z30" s="28" t="n">
        <x:f>MIN(100,U30/'评分规则'!$B$10*75+25)</x:f>
        <x:v>100</x:v>
      </x:c>
      <x:c r="AA30" s="28" t="n">
        <x:f>V30*'评分规则'!$B$11+MAX(W30,X30)*'评分规则'!$B$12+MIN(W30,X30)*'评分规则'!$B$13+Y30*'评分规则'!$B$14+Z30*'评分规则'!$B$15</x:f>
        <x:v>52.095555555555556</x:v>
      </x:c>
      <x:c r="AB30" s="22" t="str">
        <x:f>IF(AA30&gt;=72,"S",IF(AA30&gt;=64,"A",IF(AA30&gt;=52,"B",IF(AA30&gt;=42,"C","D"))))</x:f>
        <x:v>B</x:v>
      </x:c>
      <x:c r="AC30" s="22" t="str">
        <x:f>IF(AA30&gt;='评分规则'!$B$16,"偏强",IF(AA30&lt;='评分规则'!$B$17,"偏弱","合理"))</x:f>
        <x:v>合理</x:v>
      </x:c>
      <x:c r="AD30" s="22" t="str">
        <x:f>B30&amp;"：生存"&amp;ROUND(V30,0)&amp;" / 输出"&amp;ROUND(W30,0)&amp;" / 功能"&amp;ROUND(X30,0)&amp;" / 节奏"&amp;ROUND(Y30,0)&amp;" / 羁绊"&amp;ROUND(Z30,0)&amp;"。主要优势在"&amp;IF(MAX(V30:Z30)=V30,"身板",IF(MAX(V30:Z30)=W30,"输出",IF(MAX(V30:Z30)=X30,"功能",IF(MAX(V30:Z30)=Y30,"节奏","构筑兼容"))))&amp;"。"</x:f>
        <x:v>赵云：生存46 / 输出23 / 功能0 / 节奏68 / 羁绊100。主要优势在构筑兼容。</x:v>
      </x:c>
      <x:c r="AE30" s="22" t="str">
        <x:f>IF(AC30="偏强","建议先下调"&amp;IF(MAX(V30:Z30)=W30,"技能系数或目标数",IF(MAX(V30:Z30)=Y30,"行动条收益或读条速度",IF(MAX(V30:Z30)=X30,"控制/治疗/护盾强度","最高分项约5%~10%")))&amp;"，再做镜像对战验证。",IF(AC30="偏弱","建议优先补足"&amp;IF(MAX(W30,X30)=W30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0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五虎上将（关羽、张飞、赵云、黄忠、马超）：龙胆伤害由300%提高至500%攻击，释放后减伤由30%提高至50%，持续3秒。
七进七出（赵云、刘禅）：无视军种射程，龙胆固定优先选择敌方后排低血目标。</x:v>
      </x:c>
      <x:c r="AG30" s="23" t="str">
        <x:v>{"base_value":89,"bonus_controlled":0.55,"mult":1.65,"target_mode":"back_low"}</x:v>
      </x:c>
    </x:row>
    <x:row r="31" ht="42" customHeight="1">
      <x:c r="A31" s="21" t="str">
        <x:v>zhugeliang</x:v>
      </x:c>
      <x:c r="B31" s="21" t="str">
        <x:v>诸葛亮</x:v>
      </x:c>
      <x:c r="C31" s="21" t="str">
        <x:v>Zhuge Liang</x:v>
      </x:c>
      <x:c r="D31" s="34" t="str">
        <x:v>蜀</x:v>
      </x:c>
      <x:c r="E31" s="21" t="str">
        <x:v>法师 / 爆发</x:v>
      </x:c>
      <x:c r="F31" s="24" t="n">
        <x:v>760</x:v>
      </x:c>
      <x:c r="G31" s="24" t="n">
        <x:v>44</x:v>
      </x:c>
      <x:c r="H31" s="25" t="n">
        <x:v>4</x:v>
      </x:c>
      <x:c r="I31" s="21" t="n">
        <x:v>3</x:v>
      </x:c>
      <x:c r="J31" s="21" t="str">
        <x:v>八卦阵</x:v>
      </x:c>
      <x:c r="K31" s="21" t="str">
        <x:v>row_magic</x:v>
      </x:c>
      <x:c r="L31" s="26" t="n">
        <x:v>1.2</x:v>
      </x:c>
      <x:c r="M31" s="26" t="n">
        <x:v>2.2</x:v>
      </x:c>
      <x:c r="N31" s="27" t="n">
        <x:v>0</x:v>
      </x:c>
      <x:c r="O31" s="27" t="n">
        <x:v>0</x:v>
      </x:c>
      <x:c r="P31" s="27" t="n">
        <x:v>0</x:v>
      </x:c>
      <x:c r="Q31" s="27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2</x:v>
      </x:c>
      <x:c r="V31" s="28" t="n">
        <x:f>MIN(100,F31/'评分规则'!$B$5*70+IF(I31=1,10,0)+T31+MIN(15,(O31+P31)/MAX(1,H31)/'评分规则'!$B$7*10))</x:f>
        <x:v>29.555555555555557</x:v>
      </x:c>
      <x:c r="W31" s="28" t="n">
        <x:f>MIN(100,((G31*L31*M31+N31)/MAX(1,H31))/'评分规则'!$B$6*70)</x:f>
        <x:v>22.586666666666666</x:v>
      </x:c>
      <x:c r="X31" s="28" t="n">
        <x:f>MIN(100,((O31+P31)/MAX(1,H31))/'评分规则'!$B$7*55+(Q31/MAX(1,H31))/'评分规则'!$B$8*45+R31)</x:f>
        <x:v>0</x:v>
      </x:c>
      <x:c r="Y31" s="28" t="n">
        <x:f>MIN(100,'评分规则'!$B$9/MAX(0.1,H31)*65+I31*7+S31)</x:f>
        <x:v>61.625</x:v>
      </x:c>
      <x:c r="Z31" s="28" t="n">
        <x:f>MIN(100,U31/'评分规则'!$B$10*75+25)</x:f>
        <x:v>75</x:v>
      </x:c>
      <x:c r="AA31" s="28" t="n">
        <x:f>V31*'评分规则'!$B$11+MAX(W31,X31)*'评分规则'!$B$12+MIN(W31,X31)*'评分规则'!$B$13+Y31*'评分规则'!$B$14+Z31*'评分规则'!$B$15</x:f>
        <x:v>42.27077777777778</x:v>
      </x:c>
      <x:c r="AB31" s="22" t="str">
        <x:f>IF(AA31&gt;=72,"S",IF(AA31&gt;=64,"A",IF(AA31&gt;=52,"B",IF(AA31&gt;=42,"C","D"))))</x:f>
        <x:v>C</x:v>
      </x:c>
      <x:c r="AC31" s="22" t="str">
        <x:f>IF(AA31&gt;='评分规则'!$B$16,"偏强",IF(AA31&lt;='评分规则'!$B$17,"偏弱","合理"))</x:f>
        <x:v>合理</x:v>
      </x:c>
      <x:c r="AD31" s="22" t="str">
        <x:f>B31&amp;"：生存"&amp;ROUND(V31,0)&amp;" / 输出"&amp;ROUND(W31,0)&amp;" / 功能"&amp;ROUND(X31,0)&amp;" / 节奏"&amp;ROUND(Y31,0)&amp;" / 羁绊"&amp;ROUND(Z31,0)&amp;"。主要优势在"&amp;IF(MAX(V31:Z31)=V31,"身板",IF(MAX(V31:Z31)=W31,"输出",IF(MAX(V31:Z31)=X31,"功能",IF(MAX(V31:Z31)=Y31,"节奏","构筑兼容"))))&amp;"。"</x:f>
        <x:v>诸葛亮：生存30 / 输出23 / 功能0 / 节奏62 / 羁绊75。主要优势在构筑兼容。</x:v>
      </x:c>
      <x:c r="AE31" s="22" t="str">
        <x:f>IF(AC31="偏强","建议先下调"&amp;IF(MAX(V31:Z31)=W31,"技能系数或目标数",IF(MAX(V31:Z31)=Y31,"行动条收益或读条速度",IF(MAX(V31:Z31)=X31,"控制/治疗/护盾强度","最高分项约5%~10%")))&amp;"，再做镜像对战验证。",IF(AC31="偏弱","建议优先补足"&amp;IF(MAX(W31,X31)=W31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1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卧龙凤雏（诸葛亮、庞统）：谋略标记持续时间增加，并强化与庞统控制的爆炸传导。</x:v>
      </x:c>
      <x:c r="AG31" s="23" t="str">
        <x:v>{"base_value":53,"mark":"strategy","mark_time":4,"mult":1.2}</x:v>
      </x:c>
    </x:row>
    <x:row r="32" ht="42" customHeight="1">
      <x:c r="A32" s="21" t="str">
        <x:v>zhurong</x:v>
      </x:c>
      <x:c r="B32" s="21" t="str">
        <x:v>祝融</x:v>
      </x:c>
      <x:c r="C32" s="21" t="str">
        <x:v>Zhurong</x:v>
      </x:c>
      <x:c r="D32" s="34" t="str">
        <x:v>蜀</x:v>
      </x:c>
      <x:c r="E32" s="21" t="str">
        <x:v>战士 / 灼烧</x:v>
      </x:c>
      <x:c r="F32" s="24" t="n">
        <x:v>860</x:v>
      </x:c>
      <x:c r="G32" s="24" t="n">
        <x:v>46</x:v>
      </x:c>
      <x:c r="H32" s="25" t="n">
        <x:v>3.2</x:v>
      </x:c>
      <x:c r="I32" s="21" t="n">
        <x:v>3</x:v>
      </x:c>
      <x:c r="J32" s="21" t="str">
        <x:v>火神飞刃</x:v>
      </x:c>
      <x:c r="K32" s="21" t="str">
        <x:v>strike_magic</x:v>
      </x:c>
      <x:c r="L32" s="26" t="n">
        <x:v>1.46</x:v>
      </x:c>
      <x:c r="M32" s="26" t="n">
        <x:v>1</x:v>
      </x:c>
      <x:c r="N32" s="27" t="n">
        <x:v>56</x:v>
      </x:c>
      <x:c r="O32" s="27" t="n">
        <x:v>0</x:v>
      </x:c>
      <x:c r="P32" s="27" t="n">
        <x:v>0</x:v>
      </x:c>
      <x:c r="Q32" s="27" t="n">
        <x:v>0</x:v>
      </x:c>
      <x:c r="R32" s="21" t="n">
        <x:v>0</x:v>
      </x:c>
      <x:c r="S32" s="21" t="n">
        <x:v>0</x:v>
      </x:c>
      <x:c r="T32" s="21" t="n">
        <x:v>8</x:v>
      </x:c>
      <x:c r="U32" s="21" t="n">
        <x:v>2</x:v>
      </x:c>
      <x:c r="V32" s="28" t="n">
        <x:f>MIN(100,F32/'评分规则'!$B$5*70+IF(I32=1,10,0)+T32+MIN(15,(O32+P32)/MAX(1,H32)/'评分规则'!$B$7*10))</x:f>
        <x:v>41.44444444444444</x:v>
      </x:c>
      <x:c r="W32" s="28" t="n">
        <x:f>MIN(100,((G32*L32*M32+N32)/MAX(1,H32))/'评分规则'!$B$6*70)</x:f>
        <x:v>29.93472222222222</x:v>
      </x:c>
      <x:c r="X32" s="28" t="n">
        <x:f>MIN(100,((O32+P32)/MAX(1,H32))/'评分规则'!$B$7*55+(Q32/MAX(1,H32))/'评分规则'!$B$8*45+R32)</x:f>
        <x:v>0</x:v>
      </x:c>
      <x:c r="Y32" s="28" t="n">
        <x:f>MIN(100,'评分规则'!$B$9/MAX(0.1,H32)*65+I32*7+S32)</x:f>
        <x:v>71.78125</x:v>
      </x:c>
      <x:c r="Z32" s="28" t="n">
        <x:f>MIN(100,U32/'评分规则'!$B$10*75+25)</x:f>
        <x:v>75</x:v>
      </x:c>
      <x:c r="AA32" s="28" t="n">
        <x:f>V32*'评分规则'!$B$11+MAX(W32,X32)*'评分规则'!$B$12+MIN(W32,X32)*'评分规则'!$B$13+Y32*'评分规则'!$B$14+Z32*'评分规则'!$B$15</x:f>
        <x:v>49.61902777777778</x:v>
      </x:c>
      <x:c r="AB32" s="22" t="str">
        <x:f>IF(AA32&gt;=72,"S",IF(AA32&gt;=64,"A",IF(AA32&gt;=52,"B",IF(AA32&gt;=42,"C","D"))))</x:f>
        <x:v>C</x:v>
      </x:c>
      <x:c r="AC32" s="22" t="str">
        <x:f>IF(AA32&gt;='评分规则'!$B$16,"偏强",IF(AA32&lt;='评分规则'!$B$17,"偏弱","合理"))</x:f>
        <x:v>合理</x:v>
      </x:c>
      <x:c r="AD32" s="22" t="str">
        <x:f>B32&amp;"：生存"&amp;ROUND(V32,0)&amp;" / 输出"&amp;ROUND(W32,0)&amp;" / 功能"&amp;ROUND(X32,0)&amp;" / 节奏"&amp;ROUND(Y32,0)&amp;" / 羁绊"&amp;ROUND(Z32,0)&amp;"。主要优势在"&amp;IF(MAX(V32:Z32)=V32,"身板",IF(MAX(V32:Z32)=W32,"输出",IF(MAX(V32:Z32)=X32,"功能",IF(MAX(V32:Z32)=Y32,"节奏","构筑兼容"))))&amp;"。"</x:f>
        <x:v>祝融：生存41 / 输出30 / 功能0 / 节奏72 / 羁绊75。主要优势在构筑兼容。</x:v>
      </x:c>
      <x:c r="AE32" s="22" t="str">
        <x:f>IF(AC32="偏强","建议先下调"&amp;IF(MAX(V32:Z32)=W32,"技能系数或目标数",IF(MAX(V32:Z32)=Y32,"行动条收益或读条速度",IF(MAX(V32:Z32)=X32,"控制/治疗/护盾强度","最高分项约5%~10%")))&amp;"，再做镜像对战验证。",IF(AC32="偏弱","建议优先补足"&amp;IF(MAX(W32,X32)=W32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2" s="23" t="str">
        <x:v>汉室北伐（刘备、关羽、张飞、赵云、黄忠、马超、刘禅、诸葛亮、姜维、孟获、祝融、魏延、马岱、庞统）：3/6/9人时，本武将主动技能留下接力标记；另一名蜀将消耗后追加40%/50%/60%攻击真实伤害。
南蛮夫妇（孟获、祝融）：灼烧每秒伤害提高50%。</x:v>
      </x:c>
      <x:c r="AG32" s="23" t="str">
        <x:v>{"base_value":67,"burn":4,"burn_per_sec":14,"mult":1.45}</x:v>
      </x:c>
    </x:row>
    <x:row r="33" ht="42" customHeight="1">
      <x:c r="A33" s="21" t="str">
        <x:v>caocao</x:v>
      </x:c>
      <x:c r="B33" s="21" t="str">
        <x:v>曹操</x:v>
      </x:c>
      <x:c r="C33" s="21" t="str">
        <x:v>Cao Cao</x:v>
      </x:c>
      <x:c r="D33" s="37" t="str">
        <x:v>魏</x:v>
      </x:c>
      <x:c r="E33" s="21" t="str">
        <x:v>坦克 / 控制</x:v>
      </x:c>
      <x:c r="F33" s="24" t="n">
        <x:v>1520</x:v>
      </x:c>
      <x:c r="G33" s="24" t="n">
        <x:v>46</x:v>
      </x:c>
      <x:c r="H33" s="25" t="n">
        <x:v>3</x:v>
      </x:c>
      <x:c r="I33" s="21" t="n">
        <x:v>1</x:v>
      </x:c>
      <x:c r="J33" s="21" t="str">
        <x:v>奸雄反制</x:v>
      </x:c>
      <x:c r="K33" s="21" t="str">
        <x:v>专属实现</x:v>
      </x:c>
      <x:c r="L33" s="26" t="n">
        <x:v>1</x:v>
      </x:c>
      <x:c r="M33" s="26" t="n">
        <x:v>1</x:v>
      </x:c>
      <x:c r="N33" s="27" t="n">
        <x:v>0</x:v>
      </x:c>
      <x:c r="O33" s="27" t="n">
        <x:v>0</x:v>
      </x:c>
      <x:c r="P33" s="27" t="n">
        <x:v>0</x:v>
      </x:c>
      <x:c r="Q33" s="27" t="n">
        <x:v>0.35</x:v>
      </x:c>
      <x:c r="R33" s="21" t="n">
        <x:v>32</x:v>
      </x:c>
      <x:c r="S33" s="21" t="n">
        <x:v>0</x:v>
      </x:c>
      <x:c r="T33" s="21" t="n">
        <x:v>20</x:v>
      </x:c>
      <x:c r="U33" s="21" t="n">
        <x:v>2</x:v>
      </x:c>
      <x:c r="V33" s="28" t="n">
        <x:f>MIN(100,F33/'评分规则'!$B$5*70+IF(I33=1,10,0)+T33+MIN(15,(O33+P33)/MAX(1,H33)/'评分规则'!$B$7*10))</x:f>
        <x:v>89.11111111111111</x:v>
      </x:c>
      <x:c r="W33" s="28" t="n">
        <x:f>MIN(100,((G33*L33*M33+N33)/MAX(1,H33))/'评分规则'!$B$6*70)</x:f>
        <x:v>11.925925925925926</x:v>
      </x:c>
      <x:c r="X33" s="28" t="n">
        <x:f>MIN(100,((O33+P33)/MAX(1,H33))/'评分规则'!$B$7*55+(Q33/MAX(1,H33))/'评分规则'!$B$8*45+R33)</x:f>
        <x:v>42.5</x:v>
      </x:c>
      <x:c r="Y33" s="28" t="n">
        <x:f>MIN(100,'评分规则'!$B$9/MAX(0.1,H33)*65+I33*7+S33)</x:f>
        <x:v>61.16666666666667</x:v>
      </x:c>
      <x:c r="Z33" s="28" t="n">
        <x:f>MIN(100,U33/'评分规则'!$B$10*75+25)</x:f>
        <x:v>75</x:v>
      </x:c>
      <x:c r="AA33" s="28" t="n">
        <x:f>V33*'评分规则'!$B$11+MAX(W33,X33)*'评分规则'!$B$12+MIN(W33,X33)*'评分规则'!$B$13+Y33*'评分规则'!$B$14+Z33*'评分规则'!$B$15</x:f>
        <x:v>62.05555555555556</x:v>
      </x:c>
      <x:c r="AB33" s="22" t="str">
        <x:f>IF(AA33&gt;=72,"S",IF(AA33&gt;=64,"A",IF(AA33&gt;=52,"B",IF(AA33&gt;=42,"C","D"))))</x:f>
        <x:v>B</x:v>
      </x:c>
      <x:c r="AC33" s="22" t="str">
        <x:f>IF(AA33&gt;='评分规则'!$B$16,"偏强",IF(AA33&lt;='评分规则'!$B$17,"偏弱","合理"))</x:f>
        <x:v>合理</x:v>
      </x:c>
      <x:c r="AD33" s="22" t="str">
        <x:f>B33&amp;"：生存"&amp;ROUND(V33,0)&amp;" / 输出"&amp;ROUND(W33,0)&amp;" / 功能"&amp;ROUND(X33,0)&amp;" / 节奏"&amp;ROUND(Y33,0)&amp;" / 羁绊"&amp;ROUND(Z33,0)&amp;"。主要优势在"&amp;IF(MAX(V33:Z33)=V33,"身板",IF(MAX(V33:Z33)=W33,"输出",IF(MAX(V33:Z33)=X33,"功能",IF(MAX(V33:Z33)=Y33,"节奏","构筑兼容"))))&amp;"。"</x:f>
        <x:v>曹操：生存89 / 输出12 / 功能43 / 节奏61 / 羁绊75。主要优势在身板。</x:v>
      </x:c>
      <x:c r="AE33" s="22" t="str">
        <x:f>IF(AC33="偏强","建议先下调"&amp;IF(MAX(V33:Z33)=W33,"技能系数或目标数",IF(MAX(V33:Z33)=Y33,"行动条收益或读条速度",IF(MAX(V33:Z33)=X33,"控制/治疗/护盾强度","最高分项约5%~10%")))&amp;"，再做镜像对战验证。",IF(AC33="偏弱","建议优先补足"&amp;IF(MAX(W33,X33)=W33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3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护主双壁（曹操、典韦、许褚）：受到超过8%最大生命的单次伤害时，护卫承担25%并获得20%行动条。</x:v>
      </x:c>
      <x:c r="AG33" s="23" t="str">
        <x:v>{"base_value":46}</x:v>
      </x:c>
    </x:row>
    <x:row r="34" ht="42" customHeight="1">
      <x:c r="A34" s="21" t="str">
        <x:v>caoren</x:v>
      </x:c>
      <x:c r="B34" s="21" t="str">
        <x:v>曹仁</x:v>
      </x:c>
      <x:c r="C34" s="21" t="str">
        <x:v>Cao Ren</x:v>
      </x:c>
      <x:c r="D34" s="37" t="str">
        <x:v>魏</x:v>
      </x:c>
      <x:c r="E34" s="21" t="str">
        <x:v>坦克 / 辅助</x:v>
      </x:c>
      <x:c r="F34" s="24" t="n">
        <x:v>1560</x:v>
      </x:c>
      <x:c r="G34" s="24" t="n">
        <x:v>39</x:v>
      </x:c>
      <x:c r="H34" s="25" t="n">
        <x:v>3.7</x:v>
      </x:c>
      <x:c r="I34" s="21" t="n">
        <x:v>1</x:v>
      </x:c>
      <x:c r="J34" s="21" t="str">
        <x:v>据守樊城</x:v>
      </x:c>
      <x:c r="K34" s="21" t="str">
        <x:v>shield_single</x:v>
      </x:c>
      <x:c r="L34" s="26" t="n">
        <x:v>0</x:v>
      </x:c>
      <x:c r="M34" s="26" t="n">
        <x:v>1</x:v>
      </x:c>
      <x:c r="N34" s="27" t="n">
        <x:v>0</x:v>
      </x:c>
      <x:c r="O34" s="27" t="n">
        <x:v>0</x:v>
      </x:c>
      <x:c r="P34" s="27" t="n">
        <x:v>112</x:v>
      </x:c>
      <x:c r="Q34" s="27" t="n">
        <x:v>0</x:v>
      </x:c>
      <x:c r="R34" s="21" t="n">
        <x:v>0</x:v>
      </x:c>
      <x:c r="S34" s="21" t="n">
        <x:v>0</x:v>
      </x:c>
      <x:c r="T34" s="21" t="n">
        <x:v>20</x:v>
      </x:c>
      <x:c r="U34" s="21" t="n">
        <x:v>1</x:v>
      </x:c>
      <x:c r="V34" s="28" t="n">
        <x:f>MIN(100,F34/'评分规则'!$B$5*70+IF(I34=1,10,0)+T34+MIN(15,(O34+P34)/MAX(1,H34)/'评分规则'!$B$7*10))</x:f>
        <x:v>92.55855855855856</x:v>
      </x:c>
      <x:c r="W34" s="28" t="n">
        <x:f>MIN(100,((G34*L34*M34+N34)/MAX(1,H34))/'评分规则'!$B$6*70)</x:f>
        <x:v>0</x:v>
      </x:c>
      <x:c r="X34" s="28" t="n">
        <x:f>MIN(100,((O34+P34)/MAX(1,H34))/'评分规则'!$B$7*55+(Q34/MAX(1,H34))/'评分规则'!$B$8*45+R34)</x:f>
        <x:v>10.405405405405405</x:v>
      </x:c>
      <x:c r="Y34" s="28" t="n">
        <x:f>MIN(100,'评分规则'!$B$9/MAX(0.1,H34)*65+I34*7+S34)</x:f>
        <x:v>50.91891891891892</x:v>
      </x:c>
      <x:c r="Z34" s="28" t="n">
        <x:f>MIN(100,U34/'评分规则'!$B$10*75+25)</x:f>
        <x:v>50</x:v>
      </x:c>
      <x:c r="AA34" s="28" t="n">
        <x:f>V34*'评分规则'!$B$11+MAX(W34,X34)*'评分规则'!$B$12+MIN(W34,X34)*'评分规则'!$B$13+Y34*'评分规则'!$B$14+Z34*'评分规则'!$B$15</x:f>
        <x:v>42.857657657657654</x:v>
      </x:c>
      <x:c r="AB34" s="22" t="str">
        <x:f>IF(AA34&gt;=72,"S",IF(AA34&gt;=64,"A",IF(AA34&gt;=52,"B",IF(AA34&gt;=42,"C","D"))))</x:f>
        <x:v>C</x:v>
      </x:c>
      <x:c r="AC34" s="22" t="str">
        <x:f>IF(AA34&gt;='评分规则'!$B$16,"偏强",IF(AA34&lt;='评分规则'!$B$17,"偏弱","合理"))</x:f>
        <x:v>合理</x:v>
      </x:c>
      <x:c r="AD34" s="22" t="str">
        <x:f>B34&amp;"：生存"&amp;ROUND(V34,0)&amp;" / 输出"&amp;ROUND(W34,0)&amp;" / 功能"&amp;ROUND(X34,0)&amp;" / 节奏"&amp;ROUND(Y34,0)&amp;" / 羁绊"&amp;ROUND(Z34,0)&amp;"。主要优势在"&amp;IF(MAX(V34:Z34)=V34,"身板",IF(MAX(V34:Z34)=W34,"输出",IF(MAX(V34:Z34)=X34,"功能",IF(MAX(V34:Z34)=Y34,"节奏","构筑兼容"))))&amp;"。"</x:f>
        <x:v>曹仁：生存93 / 输出0 / 功能10 / 节奏51 / 羁绊50。主要优势在身板。</x:v>
      </x:c>
      <x:c r="AE34" s="22" t="str">
        <x:f>IF(AC34="偏强","建议先下调"&amp;IF(MAX(V34:Z34)=W34,"技能系数或目标数",IF(MAX(V34:Z34)=Y34,"行动条收益或读条速度",IF(MAX(V34:Z34)=X34,"控制/治疗/护盾强度","最高分项约5%~10%")))&amp;"，再做镜像对战验证。",IF(AC34="偏弱","建议优先补足"&amp;IF(MAX(W34,X34)=W34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4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</x:v>
      </x:c>
      <x:c r="AG34" s="23" t="str">
        <x:v>{"base_shield":112,"flat":50,"mult":1.6}</x:v>
      </x:c>
    </x:row>
    <x:row r="35" ht="42" customHeight="1">
      <x:c r="A35" s="21" t="str">
        <x:v>dianwei</x:v>
      </x:c>
      <x:c r="B35" s="21" t="str">
        <x:v>典韦</x:v>
      </x:c>
      <x:c r="C35" s="21" t="str">
        <x:v>Dian Wei</x:v>
      </x:c>
      <x:c r="D35" s="37" t="str">
        <x:v>魏</x:v>
      </x:c>
      <x:c r="E35" s="21" t="str">
        <x:v>坦克 / 战士</x:v>
      </x:c>
      <x:c r="F35" s="24" t="n">
        <x:v>1460</x:v>
      </x:c>
      <x:c r="G35" s="24" t="n">
        <x:v>52</x:v>
      </x:c>
      <x:c r="H35" s="25" t="n">
        <x:v>3</x:v>
      </x:c>
      <x:c r="I35" s="21" t="n">
        <x:v>1</x:v>
      </x:c>
      <x:c r="J35" s="21" t="str">
        <x:v>恶来擒杀号</x:v>
      </x:c>
      <x:c r="K35" s="21" t="str">
        <x:v>专属实现</x:v>
      </x:c>
      <x:c r="L35" s="26" t="n">
        <x:v>1.8</x:v>
      </x:c>
      <x:c r="M35" s="26" t="n">
        <x:v>1</x:v>
      </x:c>
      <x:c r="N35" s="27" t="n">
        <x:v>0</x:v>
      </x:c>
      <x:c r="O35" s="27" t="n">
        <x:v>0</x:v>
      </x:c>
      <x:c r="P35" s="27" t="n">
        <x:v>0</x:v>
      </x:c>
      <x:c r="Q35" s="27" t="n">
        <x:v>0</x:v>
      </x:c>
      <x:c r="R35" s="21" t="n">
        <x:v>13</x:v>
      </x:c>
      <x:c r="S35" s="21" t="n">
        <x:v>0</x:v>
      </x:c>
      <x:c r="T35" s="21" t="n">
        <x:v>20</x:v>
      </x:c>
      <x:c r="U35" s="21" t="n">
        <x:v>2</x:v>
      </x:c>
      <x:c r="V35" s="28" t="n">
        <x:f>MIN(100,F35/'评分规则'!$B$5*70+IF(I35=1,10,0)+T35+MIN(15,(O35+P35)/MAX(1,H35)/'评分规则'!$B$7*10))</x:f>
        <x:v>86.77777777777777</x:v>
      </x:c>
      <x:c r="W35" s="28" t="n">
        <x:f>MIN(100,((G35*L35*M35+N35)/MAX(1,H35))/'评分规则'!$B$6*70)</x:f>
        <x:v>24.266666666666666</x:v>
      </x:c>
      <x:c r="X35" s="28" t="n">
        <x:f>MIN(100,((O35+P35)/MAX(1,H35))/'评分规则'!$B$7*55+(Q35/MAX(1,H35))/'评分规则'!$B$8*45+R35)</x:f>
        <x:v>13</x:v>
      </x:c>
      <x:c r="Y35" s="28" t="n">
        <x:f>MIN(100,'评分规则'!$B$9/MAX(0.1,H35)*65+I35*7+S35)</x:f>
        <x:v>61.16666666666667</x:v>
      </x:c>
      <x:c r="Z35" s="28" t="n">
        <x:f>MIN(100,U35/'评分规则'!$B$10*75+25)</x:f>
        <x:v>75</x:v>
      </x:c>
      <x:c r="AA35" s="28" t="n">
        <x:f>V35*'评分规则'!$B$11+MAX(W35,X35)*'评分规则'!$B$12+MIN(W35,X35)*'评分规则'!$B$13+Y35*'评分规则'!$B$14+Z35*'评分规则'!$B$15</x:f>
        <x:v>54.29555555555555</x:v>
      </x:c>
      <x:c r="AB35" s="22" t="str">
        <x:f>IF(AA35&gt;=72,"S",IF(AA35&gt;=64,"A",IF(AA35&gt;=52,"B",IF(AA35&gt;=42,"C","D"))))</x:f>
        <x:v>B</x:v>
      </x:c>
      <x:c r="AC35" s="22" t="str">
        <x:f>IF(AA35&gt;='评分规则'!$B$16,"偏强",IF(AA35&lt;='评分规则'!$B$17,"偏弱","合理"))</x:f>
        <x:v>合理</x:v>
      </x:c>
      <x:c r="AD35" s="22" t="str">
        <x:f>B35&amp;"：生存"&amp;ROUND(V35,0)&amp;" / 输出"&amp;ROUND(W35,0)&amp;" / 功能"&amp;ROUND(X35,0)&amp;" / 节奏"&amp;ROUND(Y35,0)&amp;" / 羁绊"&amp;ROUND(Z35,0)&amp;"。主要优势在"&amp;IF(MAX(V35:Z35)=V35,"身板",IF(MAX(V35:Z35)=W35,"输出",IF(MAX(V35:Z35)=X35,"功能",IF(MAX(V35:Z35)=Y35,"节奏","构筑兼容"))))&amp;"。"</x:f>
        <x:v>典韦：生存87 / 输出24 / 功能13 / 节奏61 / 羁绊75。主要优势在身板。</x:v>
      </x:c>
      <x:c r="AE35" s="22" t="str">
        <x:f>IF(AC35="偏强","建议先下调"&amp;IF(MAX(V35:Z35)=W35,"技能系数或目标数",IF(MAX(V35:Z35)=Y35,"行动条收益或读条速度",IF(MAX(V35:Z35)=X35,"控制/治疗/护盾强度","最高分项约5%~10%")))&amp;"，再做镜像对战验证。",IF(AC35="偏弱","建议优先补足"&amp;IF(MAX(W35,X35)=W35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5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护主双壁（曹操、典韦、许褚）：曹操受重击时可替其承担25%伤害，并获得20%行动条。</x:v>
      </x:c>
      <x:c r="AG35" s="23" t="str">
        <x:v>{"base_value":52}</x:v>
      </x:c>
    </x:row>
    <x:row r="36" ht="42" customHeight="1">
      <x:c r="A36" s="21" t="str">
        <x:v>guojia</x:v>
      </x:c>
      <x:c r="B36" s="21" t="str">
        <x:v>郭嘉</x:v>
      </x:c>
      <x:c r="C36" s="21" t="str">
        <x:v>Guo Jia</x:v>
      </x:c>
      <x:c r="D36" s="37" t="str">
        <x:v>魏</x:v>
      </x:c>
      <x:c r="E36" s="21" t="str">
        <x:v>控制 / 法师</x:v>
      </x:c>
      <x:c r="F36" s="24" t="n">
        <x:v>700</x:v>
      </x:c>
      <x:c r="G36" s="24" t="n">
        <x:v>38</x:v>
      </x:c>
      <x:c r="H36" s="25" t="n">
        <x:v>4.1</x:v>
      </x:c>
      <x:c r="I36" s="21" t="n">
        <x:v>3</x:v>
      </x:c>
      <x:c r="J36" s="21" t="str">
        <x:v>遗计冰封</x:v>
      </x:c>
      <x:c r="K36" s="21" t="str">
        <x:v>control</x:v>
      </x:c>
      <x:c r="L36" s="26" t="n">
        <x:v>0.45</x:v>
      </x:c>
      <x:c r="M36" s="26" t="n">
        <x:v>1</x:v>
      </x:c>
      <x:c r="N36" s="27" t="n">
        <x:v>0</x:v>
      </x:c>
      <x:c r="O36" s="27" t="n">
        <x:v>0</x:v>
      </x:c>
      <x:c r="P36" s="27" t="n">
        <x:v>0</x:v>
      </x:c>
      <x:c r="Q36" s="27" t="n">
        <x:v>1.5</x:v>
      </x:c>
      <x:c r="R36" s="21" t="n">
        <x:v>8.1</x:v>
      </x:c>
      <x:c r="S36" s="21" t="n">
        <x:v>0</x:v>
      </x:c>
      <x:c r="T36" s="21" t="n">
        <x:v>0</x:v>
      </x:c>
      <x:c r="U36" s="21" t="n">
        <x:v>2</x:v>
      </x:c>
      <x:c r="V36" s="28" t="n">
        <x:f>MIN(100,F36/'评分规则'!$B$5*70+IF(I36=1,10,0)+T36+MIN(15,(O36+P36)/MAX(1,H36)/'评分规则'!$B$7*10))</x:f>
        <x:v>27.22222222222222</x:v>
      </x:c>
      <x:c r="W36" s="28" t="n">
        <x:f>MIN(100,((G36*L36*M36+N36)/MAX(1,H36))/'评分规则'!$B$6*70)</x:f>
        <x:v>3.2439024390243913</x:v>
      </x:c>
      <x:c r="X36" s="28" t="n">
        <x:f>MIN(100,((O36+P36)/MAX(1,H36))/'评分规则'!$B$7*55+(Q36/MAX(1,H36))/'评分规则'!$B$8*45+R36)</x:f>
        <x:v>41.02682926829269</x:v>
      </x:c>
      <x:c r="Y36" s="28" t="n">
        <x:f>MIN(100,'评分规则'!$B$9/MAX(0.1,H36)*65+I36*7+S36)</x:f>
        <x:v>60.63414634146342</x:v>
      </x:c>
      <x:c r="Z36" s="28" t="n">
        <x:f>MIN(100,U36/'评分规则'!$B$10*75+25)</x:f>
        <x:v>75</x:v>
      </x:c>
      <x:c r="AA36" s="28" t="n">
        <x:f>V36*'评分规则'!$B$11+MAX(W36,X36)*'评分规则'!$B$12+MIN(W36,X36)*'评分规则'!$B$13+Y36*'评分规则'!$B$14+Z36*'评分规则'!$B$15</x:f>
        <x:v>48.98200542005421</x:v>
      </x:c>
      <x:c r="AB36" s="22" t="str">
        <x:f>IF(AA36&gt;=72,"S",IF(AA36&gt;=64,"A",IF(AA36&gt;=52,"B",IF(AA36&gt;=42,"C","D"))))</x:f>
        <x:v>C</x:v>
      </x:c>
      <x:c r="AC36" s="22" t="str">
        <x:f>IF(AA36&gt;='评分规则'!$B$16,"偏强",IF(AA36&lt;='评分规则'!$B$17,"偏弱","合理"))</x:f>
        <x:v>合理</x:v>
      </x:c>
      <x:c r="AD36" s="22" t="str">
        <x:f>B36&amp;"：生存"&amp;ROUND(V36,0)&amp;" / 输出"&amp;ROUND(W36,0)&amp;" / 功能"&amp;ROUND(X36,0)&amp;" / 节奏"&amp;ROUND(Y36,0)&amp;" / 羁绊"&amp;ROUND(Z36,0)&amp;"。主要优势在"&amp;IF(MAX(V36:Z36)=V36,"身板",IF(MAX(V36:Z36)=W36,"输出",IF(MAX(V36:Z36)=X36,"功能",IF(MAX(V36:Z36)=Y36,"节奏","构筑兼容"))))&amp;"。"</x:f>
        <x:v>郭嘉：生存27 / 输出3 / 功能41 / 节奏61 / 羁绊75。主要优势在构筑兼容。</x:v>
      </x:c>
      <x:c r="AE36" s="22" t="str">
        <x:f>IF(AC36="偏强","建议先下调"&amp;IF(MAX(V36:Z36)=W36,"技能系数或目标数",IF(MAX(V36:Z36)=Y36,"行动条收益或读条速度",IF(MAX(V36:Z36)=X36,"控制/治疗/护盾强度","最高分项约5%~10%")))&amp;"，再做镜像对战验证。",IF(AC36="偏弱","建议优先补足"&amp;IF(MAX(W36,X36)=W36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6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魏谋双星（司马懿、郭嘉）：控制持续时间提高45%。</x:v>
      </x:c>
      <x:c r="AG36" s="23" t="str">
        <x:v>{"base_value":17,"mult":0.45,"stun":1.5,"target_mode":"highest_atk","vulnerable":0.18,"vulnerable_time":4}</x:v>
      </x:c>
    </x:row>
    <x:row r="37" ht="42" customHeight="1">
      <x:c r="A37" s="21" t="str">
        <x:v>yuejin</x:v>
      </x:c>
      <x:c r="B37" s="21" t="str">
        <x:v>乐进</x:v>
      </x:c>
      <x:c r="C37" s="21" t="str">
        <x:v>Yue Jin</x:v>
      </x:c>
      <x:c r="D37" s="37" t="str">
        <x:v>魏</x:v>
      </x:c>
      <x:c r="E37" s="21" t="str">
        <x:v>战士 / 爆发</x:v>
      </x:c>
      <x:c r="F37" s="24" t="n">
        <x:v>740</x:v>
      </x:c>
      <x:c r="G37" s="24" t="n">
        <x:v>45</x:v>
      </x:c>
      <x:c r="H37" s="25" t="n">
        <x:v>3</x:v>
      </x:c>
      <x:c r="I37" s="21" t="n">
        <x:v>3</x:v>
      </x:c>
      <x:c r="J37" s="21" t="str">
        <x:v>五矢齐发</x:v>
      </x:c>
      <x:c r="K37" s="21" t="str">
        <x:v>multi</x:v>
      </x:c>
      <x:c r="L37" s="26" t="n">
        <x:v>0.56</x:v>
      </x:c>
      <x:c r="M37" s="26" t="n">
        <x:v>3</x:v>
      </x:c>
      <x:c r="N37" s="27" t="n">
        <x:v>0</x:v>
      </x:c>
      <x:c r="O37" s="27" t="n">
        <x:v>0</x:v>
      </x:c>
      <x:c r="P37" s="27" t="n">
        <x:v>0</x:v>
      </x:c>
      <x:c r="Q37" s="27" t="n">
        <x:v>0</x:v>
      </x:c>
      <x:c r="R37" s="21" t="n">
        <x:v>6.8</x:v>
      </x:c>
      <x:c r="S37" s="21" t="n">
        <x:v>0</x:v>
      </x:c>
      <x:c r="T37" s="21" t="n">
        <x:v>8</x:v>
      </x:c>
      <x:c r="U37" s="21" t="n">
        <x:v>2</x:v>
      </x:c>
      <x:c r="V37" s="28" t="n">
        <x:f>MIN(100,F37/'评分规则'!$B$5*70+IF(I37=1,10,0)+T37+MIN(15,(O37+P37)/MAX(1,H37)/'评分规则'!$B$7*10))</x:f>
        <x:v>36.77777777777777</x:v>
      </x:c>
      <x:c r="W37" s="28" t="n">
        <x:f>MIN(100,((G37*L37*M37+N37)/MAX(1,H37))/'评分规则'!$B$6*70)</x:f>
        <x:v>19.6</x:v>
      </x:c>
      <x:c r="X37" s="28" t="n">
        <x:f>MIN(100,((O37+P37)/MAX(1,H37))/'评分规则'!$B$7*55+(Q37/MAX(1,H37))/'评分规则'!$B$8*45+R37)</x:f>
        <x:v>6.8</x:v>
      </x:c>
      <x:c r="Y37" s="28" t="n">
        <x:f>MIN(100,'评分规则'!$B$9/MAX(0.1,H37)*65+I37*7+S37)</x:f>
        <x:v>75.16666666666667</x:v>
      </x:c>
      <x:c r="Z37" s="28" t="n">
        <x:f>MIN(100,U37/'评分规则'!$B$10*75+25)</x:f>
        <x:v>75</x:v>
      </x:c>
      <x:c r="AA37" s="28" t="n">
        <x:f>V37*'评分规则'!$B$11+MAX(W37,X37)*'评分规则'!$B$12+MIN(W37,X37)*'评分规则'!$B$13+Y37*'评分规则'!$B$14+Z37*'评分规则'!$B$15</x:f>
        <x:v>45.22888888888889</x:v>
      </x:c>
      <x:c r="AB37" s="22" t="str">
        <x:f>IF(AA37&gt;=72,"S",IF(AA37&gt;=64,"A",IF(AA37&gt;=52,"B",IF(AA37&gt;=42,"C","D"))))</x:f>
        <x:v>C</x:v>
      </x:c>
      <x:c r="AC37" s="22" t="str">
        <x:f>IF(AA37&gt;='评分规则'!$B$16,"偏强",IF(AA37&lt;='评分规则'!$B$17,"偏弱","合理"))</x:f>
        <x:v>合理</x:v>
      </x:c>
      <x:c r="AD37" s="22" t="str">
        <x:f>B37&amp;"：生存"&amp;ROUND(V37,0)&amp;" / 输出"&amp;ROUND(W37,0)&amp;" / 功能"&amp;ROUND(X37,0)&amp;" / 节奏"&amp;ROUND(Y37,0)&amp;" / 羁绊"&amp;ROUND(Z37,0)&amp;"。主要优势在"&amp;IF(MAX(V37:Z37)=V37,"身板",IF(MAX(V37:Z37)=W37,"输出",IF(MAX(V37:Z37)=X37,"功能",IF(MAX(V37:Z37)=Y37,"节奏","构筑兼容"))))&amp;"。"</x:f>
        <x:v>乐进：生存37 / 输出20 / 功能7 / 节奏75 / 羁绊75。主要优势在节奏。</x:v>
      </x:c>
      <x:c r="AE37" s="22" t="str">
        <x:f>IF(AC37="偏强","建议先下调"&amp;IF(MAX(V37:Z37)=W37,"技能系数或目标数",IF(MAX(V37:Z37)=Y37,"行动条收益或读条速度",IF(MAX(V37:Z37)=X37,"控制/治疗/护盾强度","最高分项约5%~10%")))&amp;"，再做镜像对战验证。",IF(AC37="偏弱","建议优先补足"&amp;IF(MAX(W37,X37)=W37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7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五子良将（张辽、乐进、张郃、徐晃、于禁）：3人时裂箭+1支，5人时裂箭+2支。</x:v>
      </x:c>
      <x:c r="AG37" s="23" t="str">
        <x:v>{"base_value":25,"count":3,"mult":0.55,"shield_break":0.45,"target_mode":"front"}</x:v>
      </x:c>
    </x:row>
    <x:row r="38" ht="42" customHeight="1">
      <x:c r="A38" s="21" t="str">
        <x:v>simayi</x:v>
      </x:c>
      <x:c r="B38" s="21" t="str">
        <x:v>司马懿</x:v>
      </x:c>
      <x:c r="C38" s="21" t="str">
        <x:v>Sima Yi</x:v>
      </x:c>
      <x:c r="D38" s="37" t="str">
        <x:v>魏</x:v>
      </x:c>
      <x:c r="E38" s="21" t="str">
        <x:v>法师 / 爆发</x:v>
      </x:c>
      <x:c r="F38" s="24" t="n">
        <x:v>760</x:v>
      </x:c>
      <x:c r="G38" s="24" t="n">
        <x:v>44</x:v>
      </x:c>
      <x:c r="H38" s="25" t="n">
        <x:v>4</x:v>
      </x:c>
      <x:c r="I38" s="21" t="n">
        <x:v>3</x:v>
      </x:c>
      <x:c r="J38" s="21" t="str">
        <x:v>雷霆谋断</x:v>
      </x:c>
      <x:c r="K38" s="21" t="str">
        <x:v>multi_magic</x:v>
      </x:c>
      <x:c r="L38" s="26" t="n">
        <x:v>1.05</x:v>
      </x:c>
      <x:c r="M38" s="26" t="n">
        <x:v>2</x:v>
      </x:c>
      <x:c r="N38" s="27" t="n">
        <x:v>0</x:v>
      </x:c>
      <x:c r="O38" s="27" t="n">
        <x:v>0</x:v>
      </x:c>
      <x:c r="P38" s="27" t="n">
        <x:v>0</x:v>
      </x:c>
      <x:c r="Q38" s="27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2</x:v>
      </x:c>
      <x:c r="V38" s="28" t="n">
        <x:f>MIN(100,F38/'评分规则'!$B$5*70+IF(I38=1,10,0)+T38+MIN(15,(O38+P38)/MAX(1,H38)/'评分规则'!$B$7*10))</x:f>
        <x:v>29.555555555555557</x:v>
      </x:c>
      <x:c r="W38" s="28" t="n">
        <x:f>MIN(100,((G38*L38*M38+N38)/MAX(1,H38))/'评分规则'!$B$6*70)</x:f>
        <x:v>17.96666666666667</x:v>
      </x:c>
      <x:c r="X38" s="28" t="n">
        <x:f>MIN(100,((O38+P38)/MAX(1,H38))/'评分规则'!$B$7*55+(Q38/MAX(1,H38))/'评分规则'!$B$8*45+R38)</x:f>
        <x:v>0</x:v>
      </x:c>
      <x:c r="Y38" s="28" t="n">
        <x:f>MIN(100,'评分规则'!$B$9/MAX(0.1,H38)*65+I38*7+S38)</x:f>
        <x:v>61.625</x:v>
      </x:c>
      <x:c r="Z38" s="28" t="n">
        <x:f>MIN(100,U38/'评分规则'!$B$10*75+25)</x:f>
        <x:v>75</x:v>
      </x:c>
      <x:c r="AA38" s="28" t="n">
        <x:f>V38*'评分规则'!$B$11+MAX(W38,X38)*'评分规则'!$B$12+MIN(W38,X38)*'评分规则'!$B$13+Y38*'评分规则'!$B$14+Z38*'评分规则'!$B$15</x:f>
        <x:v>40.42277777777778</x:v>
      </x:c>
      <x:c r="AB38" s="22" t="str">
        <x:f>IF(AA38&gt;=72,"S",IF(AA38&gt;=64,"A",IF(AA38&gt;=52,"B",IF(AA38&gt;=42,"C","D"))))</x:f>
        <x:v>D</x:v>
      </x:c>
      <x:c r="AC38" s="22" t="str">
        <x:f>IF(AA38&gt;='评分规则'!$B$16,"偏强",IF(AA38&lt;='评分规则'!$B$17,"偏弱","合理"))</x:f>
        <x:v>偏弱</x:v>
      </x:c>
      <x:c r="AD38" s="22" t="str">
        <x:f>B38&amp;"：生存"&amp;ROUND(V38,0)&amp;" / 输出"&amp;ROUND(W38,0)&amp;" / 功能"&amp;ROUND(X38,0)&amp;" / 节奏"&amp;ROUND(Y38,0)&amp;" / 羁绊"&amp;ROUND(Z38,0)&amp;"。主要优势在"&amp;IF(MAX(V38:Z38)=V38,"身板",IF(MAX(V38:Z38)=W38,"输出",IF(MAX(V38:Z38)=X38,"功能",IF(MAX(V38:Z38)=Y38,"节奏","构筑兼容"))))&amp;"。"</x:f>
        <x:v>司马懿：生存30 / 输出18 / 功能0 / 节奏62 / 羁绊75。主要优势在构筑兼容。</x:v>
      </x:c>
      <x:c r="AE38" s="22" t="str">
        <x:f>IF(AC38="偏强","建议先下调"&amp;IF(MAX(V38:Z38)=W38,"技能系数或目标数",IF(MAX(V38:Z38)=Y38,"行动条收益或读条速度",IF(MAX(V38:Z38)=X38,"控制/治疗/护盾强度","最高分项约5%~10%")))&amp;"，再做镜像对战验证。",IF(AC38="偏弱","建议优先补足"&amp;IF(MAX(W38,X38)=W38,"技能输出或目标效率","治疗/护盾/控制覆盖率")&amp;"，单次调整控制在5%~12%。","当前静态评分处于合理区间；保持数值，重点监控羁绊阵容中的放大效应。"))</x:f>
        <x:v>建议优先补足技能输出或目标效率，单次调整控制在5%~12%。</x:v>
      </x:c>
      <x:c r="AF38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魏谋双星（司马懿、郭嘉）：主动技能额外增加1道雷击。</x:v>
      </x:c>
      <x:c r="AG38" s="23" t="str">
        <x:v>{"base_value":46,"count":2,"mult":1.05,"target_mode":"debuffed"}</x:v>
      </x:c>
    </x:row>
    <x:row r="39" ht="42" customHeight="1">
      <x:c r="A39" s="21" t="str">
        <x:v>xiahoudun</x:v>
      </x:c>
      <x:c r="B39" s="21" t="str">
        <x:v>夏侯惇</x:v>
      </x:c>
      <x:c r="C39" s="21" t="str">
        <x:v>Xiahou Dun</x:v>
      </x:c>
      <x:c r="D39" s="37" t="str">
        <x:v>魏</x:v>
      </x:c>
      <x:c r="E39" s="21" t="str">
        <x:v>坦克 / 反击</x:v>
      </x:c>
      <x:c r="F39" s="24" t="n">
        <x:v>1640</x:v>
      </x:c>
      <x:c r="G39" s="24" t="n">
        <x:v>46</x:v>
      </x:c>
      <x:c r="H39" s="25" t="n">
        <x:v>3.4</x:v>
      </x:c>
      <x:c r="I39" s="21" t="n">
        <x:v>1</x:v>
      </x:c>
      <x:c r="J39" s="21" t="str">
        <x:v>刚烈反击</x:v>
      </x:c>
      <x:c r="K39" s="21" t="str">
        <x:v>drain</x:v>
      </x:c>
      <x:c r="L39" s="26" t="n">
        <x:v>1.35</x:v>
      </x:c>
      <x:c r="M39" s="26" t="n">
        <x:v>1</x:v>
      </x:c>
      <x:c r="N39" s="27" t="n">
        <x:v>0</x:v>
      </x:c>
      <x:c r="O39" s="27" t="n">
        <x:v>0</x:v>
      </x:c>
      <x:c r="P39" s="27" t="n">
        <x:v>0</x:v>
      </x:c>
      <x:c r="Q39" s="27" t="n">
        <x:v>0</x:v>
      </x:c>
      <x:c r="R39" s="21" t="n">
        <x:v>0</x:v>
      </x:c>
      <x:c r="S39" s="21" t="n">
        <x:v>0</x:v>
      </x:c>
      <x:c r="T39" s="21" t="n">
        <x:v>20</x:v>
      </x:c>
      <x:c r="U39" s="21" t="n">
        <x:v>1</x:v>
      </x:c>
      <x:c r="V39" s="28" t="n">
        <x:f>MIN(100,F39/'评分规则'!$B$5*70+IF(I39=1,10,0)+T39+MIN(15,(O39+P39)/MAX(1,H39)/'评分规则'!$B$7*10))</x:f>
        <x:v>93.77777777777777</x:v>
      </x:c>
      <x:c r="W39" s="28" t="n">
        <x:f>MIN(100,((G39*L39*M39+N39)/MAX(1,H39))/'评分规则'!$B$6*70)</x:f>
        <x:v>14.205882352941176</x:v>
      </x:c>
      <x:c r="X39" s="28" t="n">
        <x:f>MIN(100,((O39+P39)/MAX(1,H39))/'评分规则'!$B$7*55+(Q39/MAX(1,H39))/'评分规则'!$B$8*45+R39)</x:f>
        <x:v>0</x:v>
      </x:c>
      <x:c r="Y39" s="28" t="n">
        <x:f>MIN(100,'评分规则'!$B$9/MAX(0.1,H39)*65+I39*7+S39)</x:f>
        <x:v>54.794117647058826</x:v>
      </x:c>
      <x:c r="Z39" s="28" t="n">
        <x:f>MIN(100,U39/'评分规则'!$B$10*75+25)</x:f>
        <x:v>50</x:v>
      </x:c>
      <x:c r="AA39" s="28" t="n">
        <x:f>V39*'评分规则'!$B$11+MAX(W39,X39)*'评分规则'!$B$12+MIN(W39,X39)*'评分规则'!$B$13+Y39*'评分规则'!$B$14+Z39*'评分规则'!$B$15</x:f>
        <x:v>45.396732026143795</x:v>
      </x:c>
      <x:c r="AB39" s="22" t="str">
        <x:f>IF(AA39&gt;=72,"S",IF(AA39&gt;=64,"A",IF(AA39&gt;=52,"B",IF(AA39&gt;=42,"C","D"))))</x:f>
        <x:v>C</x:v>
      </x:c>
      <x:c r="AC39" s="22" t="str">
        <x:f>IF(AA39&gt;='评分规则'!$B$16,"偏强",IF(AA39&lt;='评分规则'!$B$17,"偏弱","合理"))</x:f>
        <x:v>合理</x:v>
      </x:c>
      <x:c r="AD39" s="22" t="str">
        <x:f>B39&amp;"：生存"&amp;ROUND(V39,0)&amp;" / 输出"&amp;ROUND(W39,0)&amp;" / 功能"&amp;ROUND(X39,0)&amp;" / 节奏"&amp;ROUND(Y39,0)&amp;" / 羁绊"&amp;ROUND(Z39,0)&amp;"。主要优势在"&amp;IF(MAX(V39:Z39)=V39,"身板",IF(MAX(V39:Z39)=W39,"输出",IF(MAX(V39:Z39)=X39,"功能",IF(MAX(V39:Z39)=Y39,"节奏","构筑兼容"))))&amp;"。"</x:f>
        <x:v>夏侯惇：生存94 / 输出14 / 功能0 / 节奏55 / 羁绊50。主要优势在身板。</x:v>
      </x:c>
      <x:c r="AE39" s="22" t="str">
        <x:f>IF(AC39="偏强","建议先下调"&amp;IF(MAX(V39:Z39)=W39,"技能系数或目标数",IF(MAX(V39:Z39)=Y39,"行动条收益或读条速度",IF(MAX(V39:Z39)=X39,"控制/治疗/护盾强度","最高分项约5%~10%")))&amp;"，再做镜像对战验证。",IF(AC39="偏弱","建议优先补足"&amp;IF(MAX(W39,X39)=W39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39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</x:v>
      </x:c>
      <x:c r="AG39" s="23" t="str">
        <x:v>{"base_value":62,"heal":0.25,"mult":1.35}</x:v>
      </x:c>
    </x:row>
    <x:row r="40" ht="42" customHeight="1">
      <x:c r="A40" s="21" t="str">
        <x:v>xiahouyuan</x:v>
      </x:c>
      <x:c r="B40" s="21" t="str">
        <x:v>夏侯渊</x:v>
      </x:c>
      <x:c r="C40" s="21" t="str">
        <x:v>Xiahou Yuan</x:v>
      </x:c>
      <x:c r="D40" s="37" t="str">
        <x:v>魏</x:v>
      </x:c>
      <x:c r="E40" s="21" t="str">
        <x:v>控制 / 战士</x:v>
      </x:c>
      <x:c r="F40" s="24" t="n">
        <x:v>760</x:v>
      </x:c>
      <x:c r="G40" s="24" t="n">
        <x:v>38</x:v>
      </x:c>
      <x:c r="H40" s="25" t="n">
        <x:v>2.7</x:v>
      </x:c>
      <x:c r="I40" s="21" t="n">
        <x:v>3</x:v>
      </x:c>
      <x:c r="J40" s="21" t="str">
        <x:v>神速箭</x:v>
      </x:c>
      <x:c r="K40" s="21" t="str">
        <x:v>strike</x:v>
      </x:c>
      <x:c r="L40" s="26" t="n">
        <x:v>1.39</x:v>
      </x:c>
      <x:c r="M40" s="26" t="n">
        <x:v>1</x:v>
      </x:c>
      <x:c r="N40" s="27" t="n">
        <x:v>0</x:v>
      </x:c>
      <x:c r="O40" s="27" t="n">
        <x:v>0</x:v>
      </x:c>
      <x:c r="P40" s="27" t="n">
        <x:v>0</x:v>
      </x:c>
      <x:c r="Q40" s="27" t="n">
        <x:v>0</x:v>
      </x:c>
      <x:c r="R40" s="21" t="n">
        <x:v>0</x:v>
      </x:c>
      <x:c r="S40" s="21" t="n">
        <x:v>0</x:v>
      </x:c>
      <x:c r="T40" s="21" t="n">
        <x:v>8</x:v>
      </x:c>
      <x:c r="U40" s="21" t="n">
        <x:v>1</x:v>
      </x:c>
      <x:c r="V40" s="28" t="n">
        <x:f>MIN(100,F40/'评分规则'!$B$5*70+IF(I40=1,10,0)+T40+MIN(15,(O40+P40)/MAX(1,H40)/'评分规则'!$B$7*10))</x:f>
        <x:v>37.55555555555556</x:v>
      </x:c>
      <x:c r="W40" s="28" t="n">
        <x:f>MIN(100,((G40*L40*M40+N40)/MAX(1,H40))/'评分规则'!$B$6*70)</x:f>
        <x:v>15.215637860082301</x:v>
      </x:c>
      <x:c r="X40" s="28" t="n">
        <x:f>MIN(100,((O40+P40)/MAX(1,H40))/'评分规则'!$B$7*55+(Q40/MAX(1,H40))/'评分规则'!$B$8*45+R40)</x:f>
        <x:v>0</x:v>
      </x:c>
      <x:c r="Y40" s="28" t="n">
        <x:f>MIN(100,'评分规则'!$B$9/MAX(0.1,H40)*65+I40*7+S40)</x:f>
        <x:v>81.18518518518518</x:v>
      </x:c>
      <x:c r="Z40" s="28" t="n">
        <x:f>MIN(100,U40/'评分规则'!$B$10*75+25)</x:f>
        <x:v>50</x:v>
      </x:c>
      <x:c r="AA40" s="28" t="n">
        <x:f>V40*'评分规则'!$B$11+MAX(W40,X40)*'评分规则'!$B$12+MIN(W40,X40)*'评分规则'!$B$13+Y40*'评分规则'!$B$14+Z40*'评分规则'!$B$15</x:f>
        <x:v>39.83440329218107</x:v>
      </x:c>
      <x:c r="AB40" s="22" t="str">
        <x:f>IF(AA40&gt;=72,"S",IF(AA40&gt;=64,"A",IF(AA40&gt;=52,"B",IF(AA40&gt;=42,"C","D"))))</x:f>
        <x:v>D</x:v>
      </x:c>
      <x:c r="AC40" s="22" t="str">
        <x:f>IF(AA40&gt;='评分规则'!$B$16,"偏强",IF(AA40&lt;='评分规则'!$B$17,"偏弱","合理"))</x:f>
        <x:v>偏弱</x:v>
      </x:c>
      <x:c r="AD40" s="22" t="str">
        <x:f>B40&amp;"：生存"&amp;ROUND(V40,0)&amp;" / 输出"&amp;ROUND(W40,0)&amp;" / 功能"&amp;ROUND(X40,0)&amp;" / 节奏"&amp;ROUND(Y40,0)&amp;" / 羁绊"&amp;ROUND(Z40,0)&amp;"。主要优势在"&amp;IF(MAX(V40:Z40)=V40,"身板",IF(MAX(V40:Z40)=W40,"输出",IF(MAX(V40:Z40)=X40,"功能",IF(MAX(V40:Z40)=Y40,"节奏","构筑兼容"))))&amp;"。"</x:f>
        <x:v>夏侯渊：生存38 / 输出15 / 功能0 / 节奏81 / 羁绊50。主要优势在节奏。</x:v>
      </x:c>
      <x:c r="AE40" s="22" t="str">
        <x:f>IF(AC40="偏强","建议先下调"&amp;IF(MAX(V40:Z40)=W40,"技能系数或目标数",IF(MAX(V40:Z40)=Y40,"行动条收益或读条速度",IF(MAX(V40:Z40)=X40,"控制/治疗/护盾强度","最高分项约5%~10%")))&amp;"，再做镜像对战验证。",IF(AC40="偏弱","建议优先补足"&amp;IF(MAX(W40,X40)=W40,"技能输出或目标效率","治疗/护盾/控制覆盖率")&amp;"，单次调整控制在5%~12%。","当前静态评分处于合理区间；保持数值，重点监控羁绊阵容中的放大效应。"))</x:f>
        <x:v>建议优先补足技能输出或目标效率，单次调整控制在5%~12%。</x:v>
      </x:c>
      <x:c r="AF40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</x:v>
      </x:c>
      <x:c r="AG40" s="23" t="str">
        <x:v>{"base_value":53,"first_mult":1.3,"mult":1.4,"silence":1.5,"target_mode":"back_low"}</x:v>
      </x:c>
    </x:row>
    <x:row r="41" ht="42" customHeight="1">
      <x:c r="A41" s="21" t="str">
        <x:v>xuhuang</x:v>
      </x:c>
      <x:c r="B41" s="21" t="str">
        <x:v>徐晃</x:v>
      </x:c>
      <x:c r="C41" s="21" t="str">
        <x:v>Xu Huang</x:v>
      </x:c>
      <x:c r="D41" s="37" t="str">
        <x:v>魏</x:v>
      </x:c>
      <x:c r="E41" s="21" t="str">
        <x:v>控制 / 坦克</x:v>
      </x:c>
      <x:c r="F41" s="24" t="n">
        <x:v>1400</x:v>
      </x:c>
      <x:c r="G41" s="24" t="n">
        <x:v>42</x:v>
      </x:c>
      <x:c r="H41" s="25" t="n">
        <x:v>3.5</x:v>
      </x:c>
      <x:c r="I41" s="21" t="n">
        <x:v>1</x:v>
      </x:c>
      <x:c r="J41" s="21" t="str">
        <x:v>撼地飞斧</x:v>
      </x:c>
      <x:c r="K41" s="21" t="str">
        <x:v>row_magic</x:v>
      </x:c>
      <x:c r="L41" s="26" t="n">
        <x:v>0.9</x:v>
      </x:c>
      <x:c r="M41" s="26" t="n">
        <x:v>2.2</x:v>
      </x:c>
      <x:c r="N41" s="27" t="n">
        <x:v>0</x:v>
      </x:c>
      <x:c r="O41" s="27" t="n">
        <x:v>0</x:v>
      </x:c>
      <x:c r="P41" s="27" t="n">
        <x:v>0</x:v>
      </x:c>
      <x:c r="Q41" s="27" t="n">
        <x:v>1.5</x:v>
      </x:c>
      <x:c r="R41" s="21" t="n">
        <x:v>0</x:v>
      </x:c>
      <x:c r="S41" s="21" t="n">
        <x:v>0</x:v>
      </x:c>
      <x:c r="T41" s="21" t="n">
        <x:v>20</x:v>
      </x:c>
      <x:c r="U41" s="21" t="n">
        <x:v>2</x:v>
      </x:c>
      <x:c r="V41" s="28" t="n">
        <x:f>MIN(100,F41/'评分规则'!$B$5*70+IF(I41=1,10,0)+T41+MIN(15,(O41+P41)/MAX(1,H41)/'评分规则'!$B$7*10))</x:f>
        <x:v>84.44444444444444</x:v>
      </x:c>
      <x:c r="W41" s="28" t="n">
        <x:f>MIN(100,((G41*L41*M41+N41)/MAX(1,H41))/'评分规则'!$B$6*70)</x:f>
        <x:v>18.48</x:v>
      </x:c>
      <x:c r="X41" s="28" t="n">
        <x:f>MIN(100,((O41+P41)/MAX(1,H41))/'评分规则'!$B$7*55+(Q41/MAX(1,H41))/'评分规则'!$B$8*45+R41)</x:f>
        <x:v>38.57142857142857</x:v>
      </x:c>
      <x:c r="Y41" s="28" t="n">
        <x:f>MIN(100,'评分规则'!$B$9/MAX(0.1,H41)*65+I41*7+S41)</x:f>
        <x:v>53.42857142857143</x:v>
      </x:c>
      <x:c r="Z41" s="28" t="n">
        <x:f>MIN(100,U41/'评分规则'!$B$10*75+25)</x:f>
        <x:v>75</x:v>
      </x:c>
      <x:c r="AA41" s="28" t="n">
        <x:f>V41*'评分规则'!$B$11+MAX(W41,X41)*'评分规则'!$B$12+MIN(W41,X41)*'评分规则'!$B$13+Y41*'评分规则'!$B$14+Z41*'评分规则'!$B$15</x:f>
        <x:v>58.0031746031746</x:v>
      </x:c>
      <x:c r="AB41" s="22" t="str">
        <x:f>IF(AA41&gt;=72,"S",IF(AA41&gt;=64,"A",IF(AA41&gt;=52,"B",IF(AA41&gt;=42,"C","D"))))</x:f>
        <x:v>B</x:v>
      </x:c>
      <x:c r="AC41" s="22" t="str">
        <x:f>IF(AA41&gt;='评分规则'!$B$16,"偏强",IF(AA41&lt;='评分规则'!$B$17,"偏弱","合理"))</x:f>
        <x:v>合理</x:v>
      </x:c>
      <x:c r="AD41" s="22" t="str">
        <x:f>B41&amp;"：生存"&amp;ROUND(V41,0)&amp;" / 输出"&amp;ROUND(W41,0)&amp;" / 功能"&amp;ROUND(X41,0)&amp;" / 节奏"&amp;ROUND(Y41,0)&amp;" / 羁绊"&amp;ROUND(Z41,0)&amp;"。主要优势在"&amp;IF(MAX(V41:Z41)=V41,"身板",IF(MAX(V41:Z41)=W41,"输出",IF(MAX(V41:Z41)=X41,"功能",IF(MAX(V41:Z41)=Y41,"节奏","构筑兼容"))))&amp;"。"</x:f>
        <x:v>徐晃：生存84 / 输出18 / 功能39 / 节奏53 / 羁绊75。主要优势在身板。</x:v>
      </x:c>
      <x:c r="AE41" s="22" t="str">
        <x:f>IF(AC41="偏强","建议先下调"&amp;IF(MAX(V41:Z41)=W41,"技能系数或目标数",IF(MAX(V41:Z41)=Y41,"行动条收益或读条速度",IF(MAX(V41:Z41)=X41,"控制/治疗/护盾强度","最高分项约5%~10%")))&amp;"，再做镜像对战验证。",IF(AC41="偏弱","建议优先补足"&amp;IF(MAX(W41,X41)=W41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1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五子良将（张辽、乐进、张郃、徐晃、于禁）：3人时控制时长+10%，5人时+25%。</x:v>
      </x:c>
      <x:c r="AG41" s="23" t="str">
        <x:v>{"base_value":38,"mult":0.9,"stun":1.5}</x:v>
      </x:c>
    </x:row>
    <x:row r="42" ht="42" customHeight="1">
      <x:c r="A42" s="21" t="str">
        <x:v>xuchu</x:v>
      </x:c>
      <x:c r="B42" s="21" t="str">
        <x:v>许褚</x:v>
      </x:c>
      <x:c r="C42" s="21" t="str">
        <x:v>Xu Chu</x:v>
      </x:c>
      <x:c r="D42" s="37" t="str">
        <x:v>魏</x:v>
      </x:c>
      <x:c r="E42" s="21" t="str">
        <x:v>战士</x:v>
      </x:c>
      <x:c r="F42" s="24" t="n">
        <x:v>1400</x:v>
      </x:c>
      <x:c r="G42" s="24" t="n">
        <x:v>60</x:v>
      </x:c>
      <x:c r="H42" s="25" t="n">
        <x:v>3</x:v>
      </x:c>
      <x:c r="I42" s="21" t="n">
        <x:v>1</x:v>
      </x:c>
      <x:c r="J42" s="21" t="str">
        <x:v>虎痴重锤</x:v>
      </x:c>
      <x:c r="K42" s="21" t="str">
        <x:v>专属实现</x:v>
      </x:c>
      <x:c r="L42" s="26" t="n">
        <x:v>2.4</x:v>
      </x:c>
      <x:c r="M42" s="26" t="n">
        <x:v>1</x:v>
      </x:c>
      <x:c r="N42" s="27" t="n">
        <x:v>0</x:v>
      </x:c>
      <x:c r="O42" s="27" t="n">
        <x:v>0</x:v>
      </x:c>
      <x:c r="P42" s="27" t="n">
        <x:v>0</x:v>
      </x:c>
      <x:c r="Q42" s="27" t="n">
        <x:v>0</x:v>
      </x:c>
      <x:c r="R42" s="21" t="n">
        <x:v>0</x:v>
      </x:c>
      <x:c r="S42" s="21" t="n">
        <x:v>0</x:v>
      </x:c>
      <x:c r="T42" s="21" t="n">
        <x:v>8</x:v>
      </x:c>
      <x:c r="U42" s="21" t="n">
        <x:v>2</x:v>
      </x:c>
      <x:c r="V42" s="28" t="n">
        <x:f>MIN(100,F42/'评分规则'!$B$5*70+IF(I42=1,10,0)+T42+MIN(15,(O42+P42)/MAX(1,H42)/'评分规则'!$B$7*10))</x:f>
        <x:v>72.44444444444444</x:v>
      </x:c>
      <x:c r="W42" s="28" t="n">
        <x:f>MIN(100,((G42*L42*M42+N42)/MAX(1,H42))/'评分规则'!$B$6*70)</x:f>
        <x:v>37.333333333333336</x:v>
      </x:c>
      <x:c r="X42" s="28" t="n">
        <x:f>MIN(100,((O42+P42)/MAX(1,H42))/'评分规则'!$B$7*55+(Q42/MAX(1,H42))/'评分规则'!$B$8*45+R42)</x:f>
        <x:v>0</x:v>
      </x:c>
      <x:c r="Y42" s="28" t="n">
        <x:f>MIN(100,'评分规则'!$B$9/MAX(0.1,H42)*65+I42*7+S42)</x:f>
        <x:v>61.16666666666667</x:v>
      </x:c>
      <x:c r="Z42" s="28" t="n">
        <x:f>MIN(100,U42/'评分规则'!$B$10*75+25)</x:f>
        <x:v>75</x:v>
      </x:c>
      <x:c r="AA42" s="28" t="n">
        <x:f>V42*'评分规则'!$B$11+MAX(W42,X42)*'评分规则'!$B$12+MIN(W42,X42)*'评分规则'!$B$13+Y42*'评分规则'!$B$14+Z42*'评分规则'!$B$15</x:f>
        <x:v>56.65555555555556</x:v>
      </x:c>
      <x:c r="AB42" s="22" t="str">
        <x:f>IF(AA42&gt;=72,"S",IF(AA42&gt;=64,"A",IF(AA42&gt;=52,"B",IF(AA42&gt;=42,"C","D"))))</x:f>
        <x:v>B</x:v>
      </x:c>
      <x:c r="AC42" s="22" t="str">
        <x:f>IF(AA42&gt;='评分规则'!$B$16,"偏强",IF(AA42&lt;='评分规则'!$B$17,"偏弱","合理"))</x:f>
        <x:v>合理</x:v>
      </x:c>
      <x:c r="AD42" s="22" t="str">
        <x:f>B42&amp;"：生存"&amp;ROUND(V42,0)&amp;" / 输出"&amp;ROUND(W42,0)&amp;" / 功能"&amp;ROUND(X42,0)&amp;" / 节奏"&amp;ROUND(Y42,0)&amp;" / 羁绊"&amp;ROUND(Z42,0)&amp;"。主要优势在"&amp;IF(MAX(V42:Z42)=V42,"身板",IF(MAX(V42:Z42)=W42,"输出",IF(MAX(V42:Z42)=X42,"功能",IF(MAX(V42:Z42)=Y42,"节奏","构筑兼容"))))&amp;"。"</x:f>
        <x:v>许褚：生存72 / 输出37 / 功能0 / 节奏61 / 羁绊75。主要优势在构筑兼容。</x:v>
      </x:c>
      <x:c r="AE42" s="22" t="str">
        <x:f>IF(AC42="偏强","建议先下调"&amp;IF(MAX(V42:Z42)=W42,"技能系数或目标数",IF(MAX(V42:Z42)=Y42,"行动条收益或读条速度",IF(MAX(V42:Z42)=X42,"控制/治疗/护盾强度","最高分项约5%~10%")))&amp;"，再做镜像对战验证。",IF(AC42="偏弱","建议优先补足"&amp;IF(MAX(W42,X42)=W42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2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护主双壁（曹操、典韦、许褚）：曹操受重击时可替其承担25%伤害，并获得20%行动条。</x:v>
      </x:c>
      <x:c r="AG42" s="23" t="str">
        <x:v>{"base_value":60}</x:v>
      </x:c>
    </x:row>
    <x:row r="43" ht="42" customHeight="1">
      <x:c r="A43" s="21" t="str">
        <x:v>xunyu</x:v>
      </x:c>
      <x:c r="B43" s="21" t="str">
        <x:v>荀彧</x:v>
      </x:c>
      <x:c r="C43" s="21" t="str">
        <x:v>Xun Yu</x:v>
      </x:c>
      <x:c r="D43" s="37" t="str">
        <x:v>魏</x:v>
      </x:c>
      <x:c r="E43" s="21" t="str">
        <x:v>辅助 / 控制</x:v>
      </x:c>
      <x:c r="F43" s="24" t="n">
        <x:v>800</x:v>
      </x:c>
      <x:c r="G43" s="24" t="n">
        <x:v>34</x:v>
      </x:c>
      <x:c r="H43" s="25" t="n">
        <x:v>3.8</x:v>
      </x:c>
      <x:c r="I43" s="21" t="n">
        <x:v>3</x:v>
      </x:c>
      <x:c r="J43" s="21" t="str">
        <x:v>王佐举荐</x:v>
      </x:c>
      <x:c r="K43" s="21" t="str">
        <x:v>buff_two</x:v>
      </x:c>
      <x:c r="L43" s="26" t="n">
        <x:v>0</x:v>
      </x:c>
      <x:c r="M43" s="26" t="n">
        <x:v>1</x:v>
      </x:c>
      <x:c r="N43" s="27" t="n">
        <x:v>0</x:v>
      </x:c>
      <x:c r="O43" s="27" t="n">
        <x:v>0</x:v>
      </x:c>
      <x:c r="P43" s="27" t="n">
        <x:v>0</x:v>
      </x:c>
      <x:c r="Q43" s="27" t="n">
        <x:v>0</x:v>
      </x:c>
      <x:c r="R43" s="21" t="n">
        <x:v>63</x:v>
      </x:c>
      <x:c r="S43" s="21" t="n">
        <x:v>0.1</x:v>
      </x:c>
      <x:c r="T43" s="21" t="n">
        <x:v>0</x:v>
      </x:c>
      <x:c r="U43" s="21" t="n">
        <x:v>1</x:v>
      </x:c>
      <x:c r="V43" s="28" t="n">
        <x:f>MIN(100,F43/'评分规则'!$B$5*70+IF(I43=1,10,0)+T43+MIN(15,(O43+P43)/MAX(1,H43)/'评分规则'!$B$7*10))</x:f>
        <x:v>31.11111111111111</x:v>
      </x:c>
      <x:c r="W43" s="28" t="n">
        <x:f>MIN(100,((G43*L43*M43+N43)/MAX(1,H43))/'评分规则'!$B$6*70)</x:f>
        <x:v>0</x:v>
      </x:c>
      <x:c r="X43" s="28" t="n">
        <x:f>MIN(100,((O43+P43)/MAX(1,H43))/'评分规则'!$B$7*55+(Q43/MAX(1,H43))/'评分规则'!$B$8*45+R43)</x:f>
        <x:v>63</x:v>
      </x:c>
      <x:c r="Y43" s="28" t="n">
        <x:f>MIN(100,'评分规则'!$B$9/MAX(0.1,H43)*65+I43*7+S43)</x:f>
        <x:v>63.863157894736844</x:v>
      </x:c>
      <x:c r="Z43" s="28" t="n">
        <x:f>MIN(100,U43/'评分规则'!$B$10*75+25)</x:f>
        <x:v>50</x:v>
      </x:c>
      <x:c r="AA43" s="28" t="n">
        <x:f>V43*'评分规则'!$B$11+MAX(W43,X43)*'评分规则'!$B$12+MIN(W43,X43)*'评分规则'!$B$13+Y43*'评分规则'!$B$14+Z43*'评分规则'!$B$15</x:f>
        <x:v>54.19485380116959</x:v>
      </x:c>
      <x:c r="AB43" s="22" t="str">
        <x:f>IF(AA43&gt;=72,"S",IF(AA43&gt;=64,"A",IF(AA43&gt;=52,"B",IF(AA43&gt;=42,"C","D"))))</x:f>
        <x:v>B</x:v>
      </x:c>
      <x:c r="AC43" s="22" t="str">
        <x:f>IF(AA43&gt;='评分规则'!$B$16,"偏强",IF(AA43&lt;='评分规则'!$B$17,"偏弱","合理"))</x:f>
        <x:v>合理</x:v>
      </x:c>
      <x:c r="AD43" s="22" t="str">
        <x:f>B43&amp;"：生存"&amp;ROUND(V43,0)&amp;" / 输出"&amp;ROUND(W43,0)&amp;" / 功能"&amp;ROUND(X43,0)&amp;" / 节奏"&amp;ROUND(Y43,0)&amp;" / 羁绊"&amp;ROUND(Z43,0)&amp;"。主要优势在"&amp;IF(MAX(V43:Z43)=V43,"身板",IF(MAX(V43:Z43)=W43,"输出",IF(MAX(V43:Z43)=X43,"功能",IF(MAX(V43:Z43)=Y43,"节奏","构筑兼容"))))&amp;"。"</x:f>
        <x:v>荀彧：生存31 / 输出0 / 功能63 / 节奏64 / 羁绊50。主要优势在节奏。</x:v>
      </x:c>
      <x:c r="AE43" s="22" t="str">
        <x:f>IF(AC43="偏强","建议先下调"&amp;IF(MAX(V43:Z43)=W43,"技能系数或目标数",IF(MAX(V43:Z43)=Y43,"行动条收益或读条速度",IF(MAX(V43:Z43)=X43,"控制/治疗/护盾强度","最高分项约5%~10%")))&amp;"，再做镜像对战验证。",IF(AC43="偏弱","建议优先补足"&amp;IF(MAX(W43,X43)=W43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3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</x:v>
      </x:c>
      <x:c r="AG43" s="23" t="str">
        <x:v>{"action":0.12,"damage":0.18}</x:v>
      </x:c>
    </x:row>
    <x:row r="44" ht="42" customHeight="1">
      <x:c r="A44" s="21" t="str">
        <x:v>yujin</x:v>
      </x:c>
      <x:c r="B44" s="21" t="str">
        <x:v>于禁</x:v>
      </x:c>
      <x:c r="C44" s="21" t="str">
        <x:v>Yu Jin</x:v>
      </x:c>
      <x:c r="D44" s="37" t="str">
        <x:v>魏</x:v>
      </x:c>
      <x:c r="E44" s="21" t="str">
        <x:v>坦克</x:v>
      </x:c>
      <x:c r="F44" s="24" t="n">
        <x:v>1380</x:v>
      </x:c>
      <x:c r="G44" s="24" t="n">
        <x:v>40</x:v>
      </x:c>
      <x:c r="H44" s="25" t="n">
        <x:v>3.5</x:v>
      </x:c>
      <x:c r="I44" s="21" t="n">
        <x:v>1</x:v>
      </x:c>
      <x:c r="J44" s="21" t="str">
        <x:v>毅重军阵</x:v>
      </x:c>
      <x:c r="K44" s="21" t="str">
        <x:v>shield_single</x:v>
      </x:c>
      <x:c r="L44" s="26" t="n">
        <x:v>0</x:v>
      </x:c>
      <x:c r="M44" s="26" t="n">
        <x:v>1</x:v>
      </x:c>
      <x:c r="N44" s="27" t="n">
        <x:v>0</x:v>
      </x:c>
      <x:c r="O44" s="27" t="n">
        <x:v>0</x:v>
      </x:c>
      <x:c r="P44" s="27" t="n">
        <x:v>83</x:v>
      </x:c>
      <x:c r="Q44" s="27" t="n">
        <x:v>0</x:v>
      </x:c>
      <x:c r="R44" s="21" t="n">
        <x:v>0</x:v>
      </x:c>
      <x:c r="S44" s="21" t="n">
        <x:v>0</x:v>
      </x:c>
      <x:c r="T44" s="21" t="n">
        <x:v>20</x:v>
      </x:c>
      <x:c r="U44" s="21" t="n">
        <x:v>2</x:v>
      </x:c>
      <x:c r="V44" s="28" t="n">
        <x:f>MIN(100,F44/'评分规则'!$B$5*70+IF(I44=1,10,0)+T44+MIN(15,(O44+P44)/MAX(1,H44)/'评分规则'!$B$7*10))</x:f>
        <x:v>85.14880952380953</x:v>
      </x:c>
      <x:c r="W44" s="28" t="n">
        <x:f>MIN(100,((G44*L44*M44+N44)/MAX(1,H44))/'评分规则'!$B$6*70)</x:f>
        <x:v>0</x:v>
      </x:c>
      <x:c r="X44" s="28" t="n">
        <x:f>MIN(100,((O44+P44)/MAX(1,H44))/'评分规则'!$B$7*55+(Q44/MAX(1,H44))/'评分规则'!$B$8*45+R44)</x:f>
        <x:v>8.151785714285714</x:v>
      </x:c>
      <x:c r="Y44" s="28" t="n">
        <x:f>MIN(100,'评分规则'!$B$9/MAX(0.1,H44)*65+I44*7+S44)</x:f>
        <x:v>53.42857142857143</x:v>
      </x:c>
      <x:c r="Z44" s="28" t="n">
        <x:f>MIN(100,U44/'评分规则'!$B$10*75+25)</x:f>
        <x:v>75</x:v>
      </x:c>
      <x:c r="AA44" s="28" t="n">
        <x:f>V44*'评分规则'!$B$11+MAX(W44,X44)*'评分规则'!$B$12+MIN(W44,X44)*'评分规则'!$B$13+Y44*'评分规则'!$B$14+Z44*'评分规则'!$B$15</x:f>
        <x:v>45.97619047619048</x:v>
      </x:c>
      <x:c r="AB44" s="22" t="str">
        <x:f>IF(AA44&gt;=72,"S",IF(AA44&gt;=64,"A",IF(AA44&gt;=52,"B",IF(AA44&gt;=42,"C","D"))))</x:f>
        <x:v>C</x:v>
      </x:c>
      <x:c r="AC44" s="22" t="str">
        <x:f>IF(AA44&gt;='评分规则'!$B$16,"偏强",IF(AA44&lt;='评分规则'!$B$17,"偏弱","合理"))</x:f>
        <x:v>合理</x:v>
      </x:c>
      <x:c r="AD44" s="22" t="str">
        <x:f>B44&amp;"：生存"&amp;ROUND(V44,0)&amp;" / 输出"&amp;ROUND(W44,0)&amp;" / 功能"&amp;ROUND(X44,0)&amp;" / 节奏"&amp;ROUND(Y44,0)&amp;" / 羁绊"&amp;ROUND(Z44,0)&amp;"。主要优势在"&amp;IF(MAX(V44:Z44)=V44,"身板",IF(MAX(V44:Z44)=W44,"输出",IF(MAX(V44:Z44)=X44,"功能",IF(MAX(V44:Z44)=Y44,"节奏","构筑兼容"))))&amp;"。"</x:f>
        <x:v>于禁：生存85 / 输出0 / 功能8 / 节奏53 / 羁绊75。主要优势在身板。</x:v>
      </x:c>
      <x:c r="AE44" s="22" t="str">
        <x:f>IF(AC44="偏强","建议先下调"&amp;IF(MAX(V44:Z44)=W44,"技能系数或目标数",IF(MAX(V44:Z44)=Y44,"行动条收益或读条速度",IF(MAX(V44:Z44)=X44,"控制/治疗/护盾强度","最高分项约5%~10%")))&amp;"，再做镜像对战验证。",IF(AC44="偏弱","建议优先补足"&amp;IF(MAX(W44,X44)=W44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4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五子良将（张辽、乐进、张郃、徐晃、于禁）：护卫的后排单位参与五子接力。</x:v>
      </x:c>
      <x:c r="AG44" s="23" t="str">
        <x:v>{"base_shield":83,"flat":35,"mult":1.2}</x:v>
      </x:c>
    </x:row>
    <x:row r="45" ht="42" customHeight="1">
      <x:c r="A45" s="21" t="str">
        <x:v>zhanghe</x:v>
      </x:c>
      <x:c r="B45" s="21" t="str">
        <x:v>张郃</x:v>
      </x:c>
      <x:c r="C45" s="21" t="str">
        <x:v>Zhang He</x:v>
      </x:c>
      <x:c r="D45" s="37" t="str">
        <x:v>魏</x:v>
      </x:c>
      <x:c r="E45" s="21" t="str">
        <x:v>控制 / 战士</x:v>
      </x:c>
      <x:c r="F45" s="24" t="n">
        <x:v>1260</x:v>
      </x:c>
      <x:c r="G45" s="24" t="n">
        <x:v>47</x:v>
      </x:c>
      <x:c r="H45" s="25" t="n">
        <x:v>2.7</x:v>
      </x:c>
      <x:c r="I45" s="21" t="n">
        <x:v>1</x:v>
      </x:c>
      <x:c r="J45" s="21" t="str">
        <x:v>破阵枪</x:v>
      </x:c>
      <x:c r="K45" s="21" t="str">
        <x:v>control</x:v>
      </x:c>
      <x:c r="L45" s="26" t="n">
        <x:v>1</x:v>
      </x:c>
      <x:c r="M45" s="26" t="n">
        <x:v>1</x:v>
      </x:c>
      <x:c r="N45" s="27" t="n">
        <x:v>0</x:v>
      </x:c>
      <x:c r="O45" s="27" t="n">
        <x:v>0</x:v>
      </x:c>
      <x:c r="P45" s="27" t="n">
        <x:v>0</x:v>
      </x:c>
      <x:c r="Q45" s="27" t="n">
        <x:v>1.5</x:v>
      </x:c>
      <x:c r="R45" s="21" t="n">
        <x:v>0</x:v>
      </x:c>
      <x:c r="S45" s="21" t="n">
        <x:v>0</x:v>
      </x:c>
      <x:c r="T45" s="21" t="n">
        <x:v>8</x:v>
      </x:c>
      <x:c r="U45" s="21" t="n">
        <x:v>2</x:v>
      </x:c>
      <x:c r="V45" s="28" t="n">
        <x:f>MIN(100,F45/'评分规则'!$B$5*70+IF(I45=1,10,0)+T45+MIN(15,(O45+P45)/MAX(1,H45)/'评分规则'!$B$7*10))</x:f>
        <x:v>67</x:v>
      </x:c>
      <x:c r="W45" s="28" t="n">
        <x:f>MIN(100,((G45*L45*M45+N45)/MAX(1,H45))/'评分规则'!$B$6*70)</x:f>
        <x:v>13.53909465020576</x:v>
      </x:c>
      <x:c r="X45" s="28" t="n">
        <x:f>MIN(100,((O45+P45)/MAX(1,H45))/'评分规则'!$B$7*55+(Q45/MAX(1,H45))/'评分规则'!$B$8*45+R45)</x:f>
        <x:v>49.99999999999999</x:v>
      </x:c>
      <x:c r="Y45" s="28" t="n">
        <x:f>MIN(100,'评分规则'!$B$9/MAX(0.1,H45)*65+I45*7+S45)</x:f>
        <x:v>67.18518518518518</x:v>
      </x:c>
      <x:c r="Z45" s="28" t="n">
        <x:f>MIN(100,U45/'评分规则'!$B$10*75+25)</x:f>
        <x:v>75</x:v>
      </x:c>
      <x:c r="AA45" s="28" t="n">
        <x:f>V45*'评分规则'!$B$11+MAX(W45,X45)*'评分规则'!$B$12+MIN(W45,X45)*'评分规则'!$B$13+Y45*'评分规则'!$B$14+Z45*'评分规则'!$B$15</x:f>
        <x:v>61.837037037037035</x:v>
      </x:c>
      <x:c r="AB45" s="22" t="str">
        <x:f>IF(AA45&gt;=72,"S",IF(AA45&gt;=64,"A",IF(AA45&gt;=52,"B",IF(AA45&gt;=42,"C","D"))))</x:f>
        <x:v>B</x:v>
      </x:c>
      <x:c r="AC45" s="22" t="str">
        <x:f>IF(AA45&gt;='评分规则'!$B$16,"偏强",IF(AA45&lt;='评分规则'!$B$17,"偏弱","合理"))</x:f>
        <x:v>合理</x:v>
      </x:c>
      <x:c r="AD45" s="22" t="str">
        <x:f>B45&amp;"：生存"&amp;ROUND(V45,0)&amp;" / 输出"&amp;ROUND(W45,0)&amp;" / 功能"&amp;ROUND(X45,0)&amp;" / 节奏"&amp;ROUND(Y45,0)&amp;" / 羁绊"&amp;ROUND(Z45,0)&amp;"。主要优势在"&amp;IF(MAX(V45:Z45)=V45,"身板",IF(MAX(V45:Z45)=W45,"输出",IF(MAX(V45:Z45)=X45,"功能",IF(MAX(V45:Z45)=Y45,"节奏","构筑兼容"))))&amp;"。"</x:f>
        <x:v>张郃：生存67 / 输出14 / 功能50 / 节奏67 / 羁绊75。主要优势在构筑兼容。</x:v>
      </x:c>
      <x:c r="AE45" s="22" t="str">
        <x:f>IF(AC45="偏强","建议先下调"&amp;IF(MAX(V45:Z45)=W45,"技能系数或目标数",IF(MAX(V45:Z45)=Y45,"行动条收益或读条速度",IF(MAX(V45:Z45)=X45,"控制/治疗/护盾强度","最高分项约5%~10%")))&amp;"，再做镜像对战验证。",IF(AC45="偏弱","建议优先补足"&amp;IF(MAX(W45,X45)=W45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5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五子良将（张辽、乐进、张郃、徐晃、于禁）：受控目标进入五子集火链。</x:v>
      </x:c>
      <x:c r="AG45" s="23" t="str">
        <x:v>{"base_value":47,"mult":1,"stun":1.5}</x:v>
      </x:c>
    </x:row>
    <x:row r="46" ht="42" customHeight="1">
      <x:c r="A46" s="21" t="str">
        <x:v>zhangliao</x:v>
      </x:c>
      <x:c r="B46" s="21" t="str">
        <x:v>张辽</x:v>
      </x:c>
      <x:c r="C46" s="21" t="str">
        <x:v>Zhang Liao</x:v>
      </x:c>
      <x:c r="D46" s="37" t="str">
        <x:v>魏</x:v>
      </x:c>
      <x:c r="E46" s="21" t="str">
        <x:v>战士 / 爆发</x:v>
      </x:c>
      <x:c r="F46" s="24" t="n">
        <x:v>1160</x:v>
      </x:c>
      <x:c r="G46" s="24" t="n">
        <x:v>53</x:v>
      </x:c>
      <x:c r="H46" s="25" t="n">
        <x:v>3.3</x:v>
      </x:c>
      <x:c r="I46" s="21" t="n">
        <x:v>2</x:v>
      </x:c>
      <x:c r="J46" s="21" t="str">
        <x:v>逍遥津突袭</x:v>
      </x:c>
      <x:c r="K46" s="21" t="str">
        <x:v>row</x:v>
      </x:c>
      <x:c r="L46" s="26" t="n">
        <x:v>1.36</x:v>
      </x:c>
      <x:c r="M46" s="26" t="n">
        <x:v>2.2</x:v>
      </x:c>
      <x:c r="N46" s="27" t="n">
        <x:v>0</x:v>
      </x:c>
      <x:c r="O46" s="27" t="n">
        <x:v>0</x:v>
      </x:c>
      <x:c r="P46" s="27" t="n">
        <x:v>0</x:v>
      </x:c>
      <x:c r="Q46" s="27" t="n">
        <x:v>0</x:v>
      </x:c>
      <x:c r="R46" s="21" t="n">
        <x:v>0</x:v>
      </x:c>
      <x:c r="S46" s="21" t="n">
        <x:v>0</x:v>
      </x:c>
      <x:c r="T46" s="21" t="n">
        <x:v>8</x:v>
      </x:c>
      <x:c r="U46" s="21" t="n">
        <x:v>2</x:v>
      </x:c>
      <x:c r="V46" s="28" t="n">
        <x:f>MIN(100,F46/'评分规则'!$B$5*70+IF(I46=1,10,0)+T46+MIN(15,(O46+P46)/MAX(1,H46)/'评分规则'!$B$7*10))</x:f>
        <x:v>53.111111111111114</x:v>
      </x:c>
      <x:c r="W46" s="28" t="n">
        <x:f>MIN(100,((G46*L46*M46+N46)/MAX(1,H46))/'评分规则'!$B$6*70)</x:f>
        <x:v>37.37481481481482</x:v>
      </x:c>
      <x:c r="X46" s="28" t="n">
        <x:f>MIN(100,((O46+P46)/MAX(1,H46))/'评分规则'!$B$7*55+(Q46/MAX(1,H46))/'评分规则'!$B$8*45+R46)</x:f>
        <x:v>0</x:v>
      </x:c>
      <x:c r="Y46" s="28" t="n">
        <x:f>MIN(100,'评分规则'!$B$9/MAX(0.1,H46)*65+I46*7+S46)</x:f>
        <x:v>63.24242424242424</x:v>
      </x:c>
      <x:c r="Z46" s="28" t="n">
        <x:f>MIN(100,U46/'评分规则'!$B$10*75+25)</x:f>
        <x:v>75</x:v>
      </x:c>
      <x:c r="AA46" s="28" t="n">
        <x:f>V46*'评分规则'!$B$11+MAX(W46,X46)*'评分规则'!$B$12+MIN(W46,X46)*'评分规则'!$B$13+Y46*'评分规则'!$B$14+Z46*'评分规则'!$B$15</x:f>
        <x:v>53.220632996633</x:v>
      </x:c>
      <x:c r="AB46" s="22" t="str">
        <x:f>IF(AA46&gt;=72,"S",IF(AA46&gt;=64,"A",IF(AA46&gt;=52,"B",IF(AA46&gt;=42,"C","D"))))</x:f>
        <x:v>B</x:v>
      </x:c>
      <x:c r="AC46" s="22" t="str">
        <x:f>IF(AA46&gt;='评分规则'!$B$16,"偏强",IF(AA46&lt;='评分规则'!$B$17,"偏弱","合理"))</x:f>
        <x:v>合理</x:v>
      </x:c>
      <x:c r="AD46" s="22" t="str">
        <x:f>B46&amp;"：生存"&amp;ROUND(V46,0)&amp;" / 输出"&amp;ROUND(W46,0)&amp;" / 功能"&amp;ROUND(X46,0)&amp;" / 节奏"&amp;ROUND(Y46,0)&amp;" / 羁绊"&amp;ROUND(Z46,0)&amp;"。主要优势在"&amp;IF(MAX(V46:Z46)=V46,"身板",IF(MAX(V46:Z46)=W46,"输出",IF(MAX(V46:Z46)=X46,"功能",IF(MAX(V46:Z46)=Y46,"节奏","构筑兼容"))))&amp;"。"</x:f>
        <x:v>张辽：生存53 / 输出37 / 功能0 / 节奏63 / 羁绊75。主要优势在构筑兼容。</x:v>
      </x:c>
      <x:c r="AE46" s="22" t="str">
        <x:f>IF(AC46="偏强","建议先下调"&amp;IF(MAX(V46:Z46)=W46,"技能系数或目标数",IF(MAX(V46:Z46)=Y46,"行动条收益或读条速度",IF(MAX(V46:Z46)=X46,"控制/治疗/护盾强度","最高分项约5%~10%")))&amp;"，再做镜像对战验证。",IF(AC46="偏弱","建议优先补足"&amp;IF(MAX(W46,X46)=W46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6" s="23" t="str">
        <x:v>魏武中枢（曹操、典韦、许褚、张辽、乐进、张郃、徐晃、于禁、夏侯渊、曹仁、夏侯惇、郭嘉、司马懿、荀彧）：3/6/9人时，本武将施加控制会留下谋算；下一次魏系技能使目标行动条后退12%/24%/36%。
五子良将（张辽、乐进、张郃、徐晃、于禁）：破阵技能参与五子控制接力。</x:v>
      </x:c>
      <x:c r="AG46" s="23" t="str">
        <x:v>{"base_value":72,"mult":1.35}</x:v>
      </x:c>
    </x:row>
    <x:row r="47" ht="42" customHeight="1">
      <x:c r="A47" s="21" t="str">
        <x:v>daqiao</x:v>
      </x:c>
      <x:c r="B47" s="21" t="str">
        <x:v>大乔</x:v>
      </x:c>
      <x:c r="C47" s="21" t="str">
        <x:v>Da Qiao</x:v>
      </x:c>
      <x:c r="D47" s="40" t="str">
        <x:v>吴</x:v>
      </x:c>
      <x:c r="E47" s="21" t="str">
        <x:v>治疗 / 辅助</x:v>
      </x:c>
      <x:c r="F47" s="24" t="n">
        <x:v>700</x:v>
      </x:c>
      <x:c r="G47" s="24" t="n">
        <x:v>33</x:v>
      </x:c>
      <x:c r="H47" s="25" t="n">
        <x:v>3.7</x:v>
      </x:c>
      <x:c r="I47" s="21" t="n">
        <x:v>3</x:v>
      </x:c>
      <x:c r="J47" s="21" t="str">
        <x:v>国色流离</x:v>
      </x:c>
      <x:c r="K47" s="21" t="str">
        <x:v>heal</x:v>
      </x:c>
      <x:c r="L47" s="26" t="n">
        <x:v>0</x:v>
      </x:c>
      <x:c r="M47" s="26" t="n">
        <x:v>1</x:v>
      </x:c>
      <x:c r="N47" s="27" t="n">
        <x:v>0</x:v>
      </x:c>
      <x:c r="O47" s="27" t="n">
        <x:v>297</x:v>
      </x:c>
      <x:c r="P47" s="27" t="n">
        <x:v>0</x:v>
      </x:c>
      <x:c r="Q47" s="27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2</x:v>
      </x:c>
      <x:c r="V47" s="28" t="n">
        <x:f>MIN(100,F47/'评分规则'!$B$5*70+IF(I47=1,10,0)+T47+MIN(15,(O47+P47)/MAX(1,H47)/'评分规则'!$B$7*10))</x:f>
        <x:v>32.239114114114116</x:v>
      </x:c>
      <x:c r="W47" s="28" t="n">
        <x:f>MIN(100,((G47*L47*M47+N47)/MAX(1,H47))/'评分规则'!$B$6*70)</x:f>
        <x:v>0</x:v>
      </x:c>
      <x:c r="X47" s="28" t="n">
        <x:f>MIN(100,((O47+P47)/MAX(1,H47))/'评分规则'!$B$7*55+(Q47/MAX(1,H47))/'评分规则'!$B$8*45+R47)</x:f>
        <x:v>27.592905405405403</x:v>
      </x:c>
      <x:c r="Y47" s="28" t="n">
        <x:f>MIN(100,'评分规则'!$B$9/MAX(0.1,H47)*65+I47*7+S47)</x:f>
        <x:v>64.91891891891892</x:v>
      </x:c>
      <x:c r="Z47" s="28" t="n">
        <x:f>MIN(100,U47/'评分规则'!$B$10*75+25)</x:f>
        <x:v>75</x:v>
      </x:c>
      <x:c r="AA47" s="28" t="n">
        <x:f>V47*'评分规则'!$B$11+MAX(W47,X47)*'评分规则'!$B$12+MIN(W47,X47)*'评分规则'!$B$13+Y47*'评分规则'!$B$14+Z47*'评分规则'!$B$15</x:f>
        <x:v>45.46876876876877</x:v>
      </x:c>
      <x:c r="AB47" s="22" t="str">
        <x:f>IF(AA47&gt;=72,"S",IF(AA47&gt;=64,"A",IF(AA47&gt;=52,"B",IF(AA47&gt;=42,"C","D"))))</x:f>
        <x:v>C</x:v>
      </x:c>
      <x:c r="AC47" s="22" t="str">
        <x:f>IF(AA47&gt;='评分规则'!$B$16,"偏强",IF(AA47&lt;='评分规则'!$B$17,"偏弱","合理"))</x:f>
        <x:v>合理</x:v>
      </x:c>
      <x:c r="AD47" s="22" t="str">
        <x:f>B47&amp;"：生存"&amp;ROUND(V47,0)&amp;" / 输出"&amp;ROUND(W47,0)&amp;" / 功能"&amp;ROUND(X47,0)&amp;" / 节奏"&amp;ROUND(Y47,0)&amp;" / 羁绊"&amp;ROUND(Z47,0)&amp;"。主要优势在"&amp;IF(MAX(V47:Z47)=V47,"身板",IF(MAX(V47:Z47)=W47,"输出",IF(MAX(V47:Z47)=X47,"功能",IF(MAX(V47:Z47)=Y47,"节奏","构筑兼容"))))&amp;"。"</x:f>
        <x:v>大乔：生存32 / 输出0 / 功能28 / 节奏65 / 羁绊75。主要优势在构筑兼容。</x:v>
      </x:c>
      <x:c r="AE47" s="22" t="str">
        <x:f>IF(AC47="偏强","建议先下调"&amp;IF(MAX(V47:Z47)=W47,"技能系数或目标数",IF(MAX(V47:Z47)=Y47,"行动条收益或读条速度",IF(MAX(V47:Z47)=X47,"控制/治疗/护盾强度","最高分项约5%~10%")))&amp;"，再做镜像对战验证。",IF(AC47="偏弱","建议优先补足"&amp;IF(MAX(W47,X47)=W47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7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江东双姝（大乔、小乔）：治疗量提高50%，并追加1次65%效果的治疗。</x:v>
      </x:c>
      <x:c r="AG47" s="23" t="str">
        <x:v>{"base_heal":297,"flat":95,"mult":1.5}</x:v>
      </x:c>
    </x:row>
    <x:row r="48" ht="42" customHeight="1">
      <x:c r="A48" s="21" t="str">
        <x:v>ganning</x:v>
      </x:c>
      <x:c r="B48" s="21" t="str">
        <x:v>甘宁</x:v>
      </x:c>
      <x:c r="C48" s="21" t="str">
        <x:v>Gan Ning</x:v>
      </x:c>
      <x:c r="D48" s="40" t="str">
        <x:v>吴</x:v>
      </x:c>
      <x:c r="E48" s="21" t="str">
        <x:v>刺客 / 爆发</x:v>
      </x:c>
      <x:c r="F48" s="24" t="n">
        <x:v>900</x:v>
      </x:c>
      <x:c r="G48" s="24" t="n">
        <x:v>52</x:v>
      </x:c>
      <x:c r="H48" s="25" t="n">
        <x:v>3.1</x:v>
      </x:c>
      <x:c r="I48" s="21" t="n">
        <x:v>1</x:v>
      </x:c>
      <x:c r="J48" s="21" t="str">
        <x:v>锦帆奇袭</x:v>
      </x:c>
      <x:c r="K48" s="21" t="str">
        <x:v>strike</x:v>
      </x:c>
      <x:c r="L48" s="26" t="n">
        <x:v>1.35</x:v>
      </x:c>
      <x:c r="M48" s="26" t="n">
        <x:v>1</x:v>
      </x:c>
      <x:c r="N48" s="27" t="n">
        <x:v>0</x:v>
      </x:c>
      <x:c r="O48" s="27" t="n">
        <x:v>0</x:v>
      </x:c>
      <x:c r="P48" s="27" t="n">
        <x:v>0</x:v>
      </x:c>
      <x:c r="Q48" s="27" t="n">
        <x:v>0</x:v>
      </x:c>
      <x:c r="R48" s="21" t="n">
        <x:v>12.5</x:v>
      </x:c>
      <x:c r="S48" s="21" t="n">
        <x:v>0</x:v>
      </x:c>
      <x:c r="T48" s="21" t="n">
        <x:v>0</x:v>
      </x:c>
      <x:c r="U48" s="21" t="n">
        <x:v>2</x:v>
      </x:c>
      <x:c r="V48" s="28" t="n">
        <x:f>MIN(100,F48/'评分规则'!$B$5*70+IF(I48=1,10,0)+T48+MIN(15,(O48+P48)/MAX(1,H48)/'评分规则'!$B$7*10))</x:f>
        <x:v>45</x:v>
      </x:c>
      <x:c r="W48" s="28" t="n">
        <x:f>MIN(100,((G48*L48*M48+N48)/MAX(1,H48))/'评分规则'!$B$6*70)</x:f>
        <x:v>17.61290322580645</x:v>
      </x:c>
      <x:c r="X48" s="28" t="n">
        <x:f>MIN(100,((O48+P48)/MAX(1,H48))/'评分规则'!$B$7*55+(Q48/MAX(1,H48))/'评分规则'!$B$8*45+R48)</x:f>
        <x:v>12.5</x:v>
      </x:c>
      <x:c r="Y48" s="28" t="n">
        <x:f>MIN(100,'评分规则'!$B$9/MAX(0.1,H48)*65+I48*7+S48)</x:f>
        <x:v>59.41935483870967</x:v>
      </x:c>
      <x:c r="Z48" s="28" t="n">
        <x:f>MIN(100,U48/'评分规则'!$B$10*75+25)</x:f>
        <x:v>75</x:v>
      </x:c>
      <x:c r="AA48" s="28" t="n">
        <x:f>V48*'评分规则'!$B$11+MAX(W48,X48)*'评分规则'!$B$12+MIN(W48,X48)*'评分规则'!$B$13+Y48*'评分规则'!$B$14+Z48*'评分规则'!$B$15</x:f>
        <x:v>42.92903225806451</x:v>
      </x:c>
      <x:c r="AB48" s="22" t="str">
        <x:f>IF(AA48&gt;=72,"S",IF(AA48&gt;=64,"A",IF(AA48&gt;=52,"B",IF(AA48&gt;=42,"C","D"))))</x:f>
        <x:v>C</x:v>
      </x:c>
      <x:c r="AC48" s="22" t="str">
        <x:f>IF(AA48&gt;='评分规则'!$B$16,"偏强",IF(AA48&lt;='评分规则'!$B$17,"偏弱","合理"))</x:f>
        <x:v>合理</x:v>
      </x:c>
      <x:c r="AD48" s="22" t="str">
        <x:f>B48&amp;"：生存"&amp;ROUND(V48,0)&amp;" / 输出"&amp;ROUND(W48,0)&amp;" / 功能"&amp;ROUND(X48,0)&amp;" / 节奏"&amp;ROUND(Y48,0)&amp;" / 羁绊"&amp;ROUND(Z48,0)&amp;"。主要优势在"&amp;IF(MAX(V48:Z48)=V48,"身板",IF(MAX(V48:Z48)=W48,"输出",IF(MAX(V48:Z48)=X48,"功能",IF(MAX(V48:Z48)=Y48,"节奏","构筑兼容"))))&amp;"。"</x:f>
        <x:v>甘宁：生存45 / 输出18 / 功能13 / 节奏59 / 羁绊75。主要优势在构筑兼容。</x:v>
      </x:c>
      <x:c r="AE48" s="22" t="str">
        <x:f>IF(AC48="偏强","建议先下调"&amp;IF(MAX(V48:Z48)=W48,"技能系数或目标数",IF(MAX(V48:Z48)=Y48,"行动条收益或读条速度",IF(MAX(V48:Z48)=X48,"控制/治疗/护盾强度","最高分项约5%~10%")))&amp;"，再做镜像对战验证。",IF(AC48="偏弱","建议优先补足"&amp;IF(MAX(W48,X48)=W48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8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白衣奇袭（吕蒙、甘宁）：释放主动后使吕蒙潜行1.5秒。</x:v>
      </x:c>
      <x:c r="AG48" s="23" t="str">
        <x:v>{"ally_stealth":true,"base_value":70,"mult":1.35,"stealth":2.5,"target_mode":"back_low"}</x:v>
      </x:c>
    </x:row>
    <x:row r="49" ht="42" customHeight="1">
      <x:c r="A49" s="21" t="str">
        <x:v>huanggai</x:v>
      </x:c>
      <x:c r="B49" s="21" t="str">
        <x:v>黄盖</x:v>
      </x:c>
      <x:c r="C49" s="21" t="str">
        <x:v>Huang Gai</x:v>
      </x:c>
      <x:c r="D49" s="40" t="str">
        <x:v>吴</x:v>
      </x:c>
      <x:c r="E49" s="21" t="str">
        <x:v>坦克 / 爆发</x:v>
      </x:c>
      <x:c r="F49" s="24" t="n">
        <x:v>1400</x:v>
      </x:c>
      <x:c r="G49" s="24" t="n">
        <x:v>48</x:v>
      </x:c>
      <x:c r="H49" s="25" t="n">
        <x:v>3.5</x:v>
      </x:c>
      <x:c r="I49" s="21" t="n">
        <x:v>1</x:v>
      </x:c>
      <x:c r="J49" s="21" t="str">
        <x:v>苦肉计</x:v>
      </x:c>
      <x:c r="K49" s="21" t="str">
        <x:v>row</x:v>
      </x:c>
      <x:c r="L49" s="26" t="n">
        <x:v>1.35</x:v>
      </x:c>
      <x:c r="M49" s="26" t="n">
        <x:v>2.2</x:v>
      </x:c>
      <x:c r="N49" s="27" t="n">
        <x:v>0</x:v>
      </x:c>
      <x:c r="O49" s="27" t="n">
        <x:v>0</x:v>
      </x:c>
      <x:c r="P49" s="27" t="n">
        <x:v>0</x:v>
      </x:c>
      <x:c r="Q49" s="27" t="n">
        <x:v>0</x:v>
      </x:c>
      <x:c r="R49" s="21" t="n">
        <x:v>0</x:v>
      </x:c>
      <x:c r="S49" s="21" t="n">
        <x:v>0</x:v>
      </x:c>
      <x:c r="T49" s="21" t="n">
        <x:v>20</x:v>
      </x:c>
      <x:c r="U49" s="21" t="n">
        <x:v>1</x:v>
      </x:c>
      <x:c r="V49" s="28" t="n">
        <x:f>MIN(100,F49/'评分规则'!$B$5*70+IF(I49=1,10,0)+T49+MIN(15,(O49+P49)/MAX(1,H49)/'评分规则'!$B$7*10))</x:f>
        <x:v>84.44444444444444</x:v>
      </x:c>
      <x:c r="W49" s="28" t="n">
        <x:f>MIN(100,((G49*L49*M49+N49)/MAX(1,H49))/'评分规则'!$B$6*70)</x:f>
        <x:v>31.680000000000007</x:v>
      </x:c>
      <x:c r="X49" s="28" t="n">
        <x:f>MIN(100,((O49+P49)/MAX(1,H49))/'评分规则'!$B$7*55+(Q49/MAX(1,H49))/'评分规则'!$B$8*45+R49)</x:f>
        <x:v>0</x:v>
      </x:c>
      <x:c r="Y49" s="28" t="n">
        <x:f>MIN(100,'评分规则'!$B$9/MAX(0.1,H49)*65+I49*7+S49)</x:f>
        <x:v>53.42857142857143</x:v>
      </x:c>
      <x:c r="Z49" s="28" t="n">
        <x:f>MIN(100,U49/'评分规则'!$B$10*75+25)</x:f>
        <x:v>50</x:v>
      </x:c>
      <x:c r="AA49" s="28" t="n">
        <x:f>V49*'评分规则'!$B$11+MAX(W49,X49)*'评分规则'!$B$12+MIN(W49,X49)*'评分规则'!$B$13+Y49*'评分规则'!$B$14+Z49*'评分规则'!$B$15</x:f>
        <x:v>50.24660317460318</x:v>
      </x:c>
      <x:c r="AB49" s="22" t="str">
        <x:f>IF(AA49&gt;=72,"S",IF(AA49&gt;=64,"A",IF(AA49&gt;=52,"B",IF(AA49&gt;=42,"C","D"))))</x:f>
        <x:v>C</x:v>
      </x:c>
      <x:c r="AC49" s="22" t="str">
        <x:f>IF(AA49&gt;='评分规则'!$B$16,"偏强",IF(AA49&lt;='评分规则'!$B$17,"偏弱","合理"))</x:f>
        <x:v>合理</x:v>
      </x:c>
      <x:c r="AD49" s="22" t="str">
        <x:f>B49&amp;"：生存"&amp;ROUND(V49,0)&amp;" / 输出"&amp;ROUND(W49,0)&amp;" / 功能"&amp;ROUND(X49,0)&amp;" / 节奏"&amp;ROUND(Y49,0)&amp;" / 羁绊"&amp;ROUND(Z49,0)&amp;"。主要优势在"&amp;IF(MAX(V49:Z49)=V49,"身板",IF(MAX(V49:Z49)=W49,"输出",IF(MAX(V49:Z49)=X49,"功能",IF(MAX(V49:Z49)=Y49,"节奏","构筑兼容"))))&amp;"。"</x:f>
        <x:v>黄盖：生存84 / 输出32 / 功能0 / 节奏53 / 羁绊50。主要优势在身板。</x:v>
      </x:c>
      <x:c r="AE49" s="22" t="str">
        <x:f>IF(AC49="偏强","建议先下调"&amp;IF(MAX(V49:Z49)=W49,"技能系数或目标数",IF(MAX(V49:Z49)=Y49,"行动条收益或读条速度",IF(MAX(V49:Z49)=X49,"控制/治疗/护盾强度","最高分项约5%~10%")))&amp;"，再做镜像对战验证。",IF(AC49="偏弱","建议优先补足"&amp;IF(MAX(W49,X49)=W49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49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</x:v>
      </x:c>
      <x:c r="AG49" s="23" t="str">
        <x:v>{"base_value":65,"mult":1.35,"self_cost":0.08}</x:v>
      </x:c>
    </x:row>
    <x:row r="50" ht="42" customHeight="1">
      <x:c r="A50" s="21" t="str">
        <x:v>jiangqin</x:v>
      </x:c>
      <x:c r="B50" s="21" t="str">
        <x:v>蒋钦</x:v>
      </x:c>
      <x:c r="C50" s="21" t="str">
        <x:v>Jiang Qin</x:v>
      </x:c>
      <x:c r="D50" s="40" t="str">
        <x:v>吴</x:v>
      </x:c>
      <x:c r="E50" s="21" t="str">
        <x:v>辅助 / 战士</x:v>
      </x:c>
      <x:c r="F50" s="24" t="n">
        <x:v>740</x:v>
      </x:c>
      <x:c r="G50" s="24" t="n">
        <x:v>38</x:v>
      </x:c>
      <x:c r="H50" s="25" t="n">
        <x:v>3</x:v>
      </x:c>
      <x:c r="I50" s="21" t="n">
        <x:v>3</x:v>
      </x:c>
      <x:c r="J50" s="21" t="str">
        <x:v>强弓号令</x:v>
      </x:c>
      <x:c r="K50" s="21" t="str">
        <x:v>buff_row_ranged</x:v>
      </x:c>
      <x:c r="L50" s="26" t="n">
        <x:v>0</x:v>
      </x:c>
      <x:c r="M50" s="26" t="n">
        <x:v>1</x:v>
      </x:c>
      <x:c r="N50" s="27" t="n">
        <x:v>0</x:v>
      </x:c>
      <x:c r="O50" s="27" t="n">
        <x:v>0</x:v>
      </x:c>
      <x:c r="P50" s="27" t="n">
        <x:v>0</x:v>
      </x:c>
      <x:c r="Q50" s="27" t="n">
        <x:v>0</x:v>
      </x:c>
      <x:c r="R50" s="21" t="n">
        <x:v>67</x:v>
      </x:c>
      <x:c r="S50" s="21" t="n">
        <x:v>0</x:v>
      </x:c>
      <x:c r="T50" s="21" t="n">
        <x:v>8</x:v>
      </x:c>
      <x:c r="U50" s="21" t="n">
        <x:v>1</x:v>
      </x:c>
      <x:c r="V50" s="28" t="n">
        <x:f>MIN(100,F50/'评分规则'!$B$5*70+IF(I50=1,10,0)+T50+MIN(15,(O50+P50)/MAX(1,H50)/'评分规则'!$B$7*10))</x:f>
        <x:v>36.77777777777777</x:v>
      </x:c>
      <x:c r="W50" s="28" t="n">
        <x:f>MIN(100,((G50*L50*M50+N50)/MAX(1,H50))/'评分规则'!$B$6*70)</x:f>
        <x:v>0</x:v>
      </x:c>
      <x:c r="X50" s="28" t="n">
        <x:f>MIN(100,((O50+P50)/MAX(1,H50))/'评分规则'!$B$7*55+(Q50/MAX(1,H50))/'评分规则'!$B$8*45+R50)</x:f>
        <x:v>67</x:v>
      </x:c>
      <x:c r="Y50" s="28" t="n">
        <x:f>MIN(100,'评分规则'!$B$9/MAX(0.1,H50)*65+I50*7+S50)</x:f>
        <x:v>75.16666666666667</x:v>
      </x:c>
      <x:c r="Z50" s="28" t="n">
        <x:f>MIN(100,U50/'评分规则'!$B$10*75+25)</x:f>
        <x:v>50</x:v>
      </x:c>
      <x:c r="AA50" s="28" t="n">
        <x:f>V50*'评分规则'!$B$11+MAX(W50,X50)*'评分规则'!$B$12+MIN(W50,X50)*'评分规则'!$B$13+Y50*'评分规则'!$B$14+Z50*'评分规则'!$B$15</x:f>
        <x:v>59.18888888888888</x:v>
      </x:c>
      <x:c r="AB50" s="22" t="str">
        <x:f>IF(AA50&gt;=72,"S",IF(AA50&gt;=64,"A",IF(AA50&gt;=52,"B",IF(AA50&gt;=42,"C","D"))))</x:f>
        <x:v>B</x:v>
      </x:c>
      <x:c r="AC50" s="22" t="str">
        <x:f>IF(AA50&gt;='评分规则'!$B$16,"偏强",IF(AA50&lt;='评分规则'!$B$17,"偏弱","合理"))</x:f>
        <x:v>合理</x:v>
      </x:c>
      <x:c r="AD50" s="22" t="str">
        <x:f>B50&amp;"：生存"&amp;ROUND(V50,0)&amp;" / 输出"&amp;ROUND(W50,0)&amp;" / 功能"&amp;ROUND(X50,0)&amp;" / 节奏"&amp;ROUND(Y50,0)&amp;" / 羁绊"&amp;ROUND(Z50,0)&amp;"。主要优势在"&amp;IF(MAX(V50:Z50)=V50,"身板",IF(MAX(V50:Z50)=W50,"输出",IF(MAX(V50:Z50)=X50,"功能",IF(MAX(V50:Z50)=Y50,"节奏","构筑兼容"))))&amp;"。"</x:f>
        <x:v>蒋钦：生存37 / 输出0 / 功能67 / 节奏75 / 羁绊50。主要优势在节奏。</x:v>
      </x:c>
      <x:c r="AE50" s="22" t="str">
        <x:f>IF(AC50="偏强","建议先下调"&amp;IF(MAX(V50:Z50)=W50,"技能系数或目标数",IF(MAX(V50:Z50)=Y50,"行动条收益或读条速度",IF(MAX(V50:Z50)=X50,"控制/治疗/护盾强度","最高分项约5%~10%")))&amp;"，再做镜像对战验证。",IF(AC50="偏弱","建议优先补足"&amp;IF(MAX(W50,X50)=W50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0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</x:v>
      </x:c>
      <x:c r="AG50" s="23" t="str">
        <x:v>{"damage":0.22}</x:v>
      </x:c>
    </x:row>
    <x:row r="51" ht="42" customHeight="1">
      <x:c r="A51" s="21" t="str">
        <x:v>lusu</x:v>
      </x:c>
      <x:c r="B51" s="21" t="str">
        <x:v>鲁肃</x:v>
      </x:c>
      <x:c r="C51" s="21" t="str">
        <x:v>Lu Su</x:v>
      </x:c>
      <x:c r="D51" s="40" t="str">
        <x:v>吴</x:v>
      </x:c>
      <x:c r="E51" s="21" t="str">
        <x:v>辅助 / 治疗</x:v>
      </x:c>
      <x:c r="F51" s="24" t="n">
        <x:v>1040</x:v>
      </x:c>
      <x:c r="G51" s="24" t="n">
        <x:v>36</x:v>
      </x:c>
      <x:c r="H51" s="25" t="n">
        <x:v>4</x:v>
      </x:c>
      <x:c r="I51" s="21" t="n">
        <x:v>3</x:v>
      </x:c>
      <x:c r="J51" s="21" t="str">
        <x:v>连横稳阵</x:v>
      </x:c>
      <x:c r="K51" s="21" t="str">
        <x:v>专属实现</x:v>
      </x:c>
      <x:c r="L51" s="26" t="n">
        <x:v>0</x:v>
      </x:c>
      <x:c r="M51" s="26" t="n">
        <x:v>1</x:v>
      </x:c>
      <x:c r="N51" s="27" t="n">
        <x:v>0</x:v>
      </x:c>
      <x:c r="O51" s="27" t="n">
        <x:v>196</x:v>
      </x:c>
      <x:c r="P51" s="27" t="n">
        <x:v>0</x:v>
      </x:c>
      <x:c r="Q51" s="27" t="n">
        <x:v>0</x:v>
      </x:c>
      <x:c r="R51" s="21" t="n">
        <x:v>35</x:v>
      </x:c>
      <x:c r="S51" s="21" t="n">
        <x:v>0</x:v>
      </x:c>
      <x:c r="T51" s="21" t="n">
        <x:v>0</x:v>
      </x:c>
      <x:c r="U51" s="21" t="n">
        <x:v>2</x:v>
      </x:c>
      <x:c r="V51" s="28" t="n">
        <x:f>MIN(100,F51/'评分规则'!$B$5*70+IF(I51=1,10,0)+T51+MIN(15,(O51+P51)/MAX(1,H51)/'评分规则'!$B$7*10))</x:f>
        <x:v>43.50694444444444</x:v>
      </x:c>
      <x:c r="W51" s="28" t="n">
        <x:f>MIN(100,((G51*L51*M51+N51)/MAX(1,H51))/'评分规则'!$B$6*70)</x:f>
        <x:v>0</x:v>
      </x:c>
      <x:c r="X51" s="28" t="n">
        <x:f>MIN(100,((O51+P51)/MAX(1,H51))/'评分规则'!$B$7*55+(Q51/MAX(1,H51))/'评分规则'!$B$8*45+R51)</x:f>
        <x:v>51.84375</x:v>
      </x:c>
      <x:c r="Y51" s="28" t="n">
        <x:f>MIN(100,'评分规则'!$B$9/MAX(0.1,H51)*65+I51*7+S51)</x:f>
        <x:v>61.625</x:v>
      </x:c>
      <x:c r="Z51" s="28" t="n">
        <x:f>MIN(100,U51/'评分规则'!$B$10*75+25)</x:f>
        <x:v>75</x:v>
      </x:c>
      <x:c r="AA51" s="28" t="n">
        <x:f>V51*'评分规则'!$B$11+MAX(W51,X51)*'评分规则'!$B$12+MIN(W51,X51)*'评分规则'!$B$13+Y51*'评分规则'!$B$14+Z51*'评分规则'!$B$15</x:f>
        <x:v>56.76388888888889</x:v>
      </x:c>
      <x:c r="AB51" s="22" t="str">
        <x:f>IF(AA51&gt;=72,"S",IF(AA51&gt;=64,"A",IF(AA51&gt;=52,"B",IF(AA51&gt;=42,"C","D"))))</x:f>
        <x:v>B</x:v>
      </x:c>
      <x:c r="AC51" s="22" t="str">
        <x:f>IF(AA51&gt;='评分规则'!$B$16,"偏强",IF(AA51&lt;='评分规则'!$B$17,"偏弱","合理"))</x:f>
        <x:v>合理</x:v>
      </x:c>
      <x:c r="AD51" s="22" t="str">
        <x:f>B51&amp;"：生存"&amp;ROUND(V51,0)&amp;" / 输出"&amp;ROUND(W51,0)&amp;" / 功能"&amp;ROUND(X51,0)&amp;" / 节奏"&amp;ROUND(Y51,0)&amp;" / 羁绊"&amp;ROUND(Z51,0)&amp;"。主要优势在"&amp;IF(MAX(V51:Z51)=V51,"身板",IF(MAX(V51:Z51)=W51,"输出",IF(MAX(V51:Z51)=X51,"功能",IF(MAX(V51:Z51)=Y51,"节奏","构筑兼容"))))&amp;"。"</x:f>
        <x:v>鲁肃：生存44 / 输出0 / 功能52 / 节奏62 / 羁绊75。主要优势在构筑兼容。</x:v>
      </x:c>
      <x:c r="AE51" s="22" t="str">
        <x:f>IF(AC51="偏强","建议先下调"&amp;IF(MAX(V51:Z51)=W51,"技能系数或目标数",IF(MAX(V51:Z51)=Y51,"行动条收益或读条速度",IF(MAX(V51:Z51)=X51,"控制/治疗/护盾强度","最高分项约5%~10%")))&amp;"，再做镜像对战验证。",IF(AC51="偏弱","建议优先补足"&amp;IF(MAX(W51,X51)=W51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1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东吴都督（周瑜、陆逊、鲁肃、吕蒙）：治疗后使行动条最低的另一名都督获得20%行动条。</x:v>
      </x:c>
      <x:c r="AG51" s="23" t="str">
        <x:v>{"base_value":36}</x:v>
      </x:c>
    </x:row>
    <x:row r="52" ht="42" customHeight="1">
      <x:c r="A52" s="21" t="str">
        <x:v>luxun</x:v>
      </x:c>
      <x:c r="B52" s="21" t="str">
        <x:v>陆逊</x:v>
      </x:c>
      <x:c r="C52" s="21" t="str">
        <x:v>Lu Xun</x:v>
      </x:c>
      <x:c r="D52" s="40" t="str">
        <x:v>吴</x:v>
      </x:c>
      <x:c r="E52" s="21" t="str">
        <x:v>法师 / 爆发</x:v>
      </x:c>
      <x:c r="F52" s="24" t="n">
        <x:v>940</x:v>
      </x:c>
      <x:c r="G52" s="24" t="n">
        <x:v>44</x:v>
      </x:c>
      <x:c r="H52" s="25" t="n">
        <x:v>4</x:v>
      </x:c>
      <x:c r="I52" s="21" t="n">
        <x:v>3</x:v>
      </x:c>
      <x:c r="J52" s="21" t="str">
        <x:v>火烧连营</x:v>
      </x:c>
      <x:c r="K52" s="21" t="str">
        <x:v>专属实现</x:v>
      </x:c>
      <x:c r="L52" s="26" t="n">
        <x:v>2.2</x:v>
      </x:c>
      <x:c r="M52" s="26" t="n">
        <x:v>2</x:v>
      </x:c>
      <x:c r="N52" s="27" t="n">
        <x:v>0</x:v>
      </x:c>
      <x:c r="O52" s="27" t="n">
        <x:v>0</x:v>
      </x:c>
      <x:c r="P52" s="27" t="n">
        <x:v>0</x:v>
      </x:c>
      <x:c r="Q52" s="27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2</x:v>
      </x:c>
      <x:c r="V52" s="28" t="n">
        <x:f>MIN(100,F52/'评分规则'!$B$5*70+IF(I52=1,10,0)+T52+MIN(15,(O52+P52)/MAX(1,H52)/'评分规则'!$B$7*10))</x:f>
        <x:v>36.55555555555556</x:v>
      </x:c>
      <x:c r="W52" s="28" t="n">
        <x:f>MIN(100,((G52*L52*M52+N52)/MAX(1,H52))/'评分规则'!$B$6*70)</x:f>
        <x:v>37.644444444444446</x:v>
      </x:c>
      <x:c r="X52" s="28" t="n">
        <x:f>MIN(100,((O52+P52)/MAX(1,H52))/'评分规则'!$B$7*55+(Q52/MAX(1,H52))/'评分规则'!$B$8*45+R52)</x:f>
        <x:v>0</x:v>
      </x:c>
      <x:c r="Y52" s="28" t="n">
        <x:f>MIN(100,'评分规则'!$B$9/MAX(0.1,H52)*65+I52*7+S52)</x:f>
        <x:v>61.625</x:v>
      </x:c>
      <x:c r="Z52" s="28" t="n">
        <x:f>MIN(100,U52/'评分规则'!$B$10*75+25)</x:f>
        <x:v>75</x:v>
      </x:c>
      <x:c r="AA52" s="28" t="n">
        <x:f>V52*'评分规则'!$B$11+MAX(W52,X52)*'评分规则'!$B$12+MIN(W52,X52)*'评分规则'!$B$13+Y52*'评分规则'!$B$14+Z52*'评分规则'!$B$15</x:f>
        <x:v>49.69388888888889</x:v>
      </x:c>
      <x:c r="AB52" s="22" t="str">
        <x:f>IF(AA52&gt;=72,"S",IF(AA52&gt;=64,"A",IF(AA52&gt;=52,"B",IF(AA52&gt;=42,"C","D"))))</x:f>
        <x:v>C</x:v>
      </x:c>
      <x:c r="AC52" s="22" t="str">
        <x:f>IF(AA52&gt;='评分规则'!$B$16,"偏强",IF(AA52&lt;='评分规则'!$B$17,"偏弱","合理"))</x:f>
        <x:v>合理</x:v>
      </x:c>
      <x:c r="AD52" s="22" t="str">
        <x:f>B52&amp;"：生存"&amp;ROUND(V52,0)&amp;" / 输出"&amp;ROUND(W52,0)&amp;" / 功能"&amp;ROUND(X52,0)&amp;" / 节奏"&amp;ROUND(Y52,0)&amp;" / 羁绊"&amp;ROUND(Z52,0)&amp;"。主要优势在"&amp;IF(MAX(V52:Z52)=V52,"身板",IF(MAX(V52:Z52)=W52,"输出",IF(MAX(V52:Z52)=X52,"功能",IF(MAX(V52:Z52)=Y52,"节奏","构筑兼容"))))&amp;"。"</x:f>
        <x:v>陆逊：生存37 / 输出38 / 功能0 / 节奏62 / 羁绊75。主要优势在构筑兼容。</x:v>
      </x:c>
      <x:c r="AE52" s="22" t="str">
        <x:f>IF(AC52="偏强","建议先下调"&amp;IF(MAX(V52:Z52)=W52,"技能系数或目标数",IF(MAX(V52:Z52)=Y52,"行动条收益或读条速度",IF(MAX(V52:Z52)=X52,"控制/治疗/护盾强度","最高分项约5%~10%")))&amp;"，再做镜像对战验证。",IF(AC52="偏弱","建议优先补足"&amp;IF(MAX(W52,X52)=W52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2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东吴都督（周瑜、陆逊、鲁肃、吕蒙）：火球弹射次数变为2次；释放后为另一名都督提供20%行动条。</x:v>
      </x:c>
      <x:c r="AG52" s="23" t="str">
        <x:v>{"base_value":44}</x:v>
      </x:c>
    </x:row>
    <x:row r="53" ht="42" customHeight="1">
      <x:c r="A53" s="21" t="str">
        <x:v>lvmeng</x:v>
      </x:c>
      <x:c r="B53" s="21" t="str">
        <x:v>吕蒙</x:v>
      </x:c>
      <x:c r="C53" s="21" t="str">
        <x:v>Lu Meng</x:v>
      </x:c>
      <x:c r="D53" s="40" t="str">
        <x:v>吴</x:v>
      </x:c>
      <x:c r="E53" s="21" t="str">
        <x:v>刺客 / 爆发</x:v>
      </x:c>
      <x:c r="F53" s="24" t="n">
        <x:v>820</x:v>
      </x:c>
      <x:c r="G53" s="24" t="n">
        <x:v>50</x:v>
      </x:c>
      <x:c r="H53" s="25" t="n">
        <x:v>3.2</x:v>
      </x:c>
      <x:c r="I53" s="21" t="n">
        <x:v>1</x:v>
      </x:c>
      <x:c r="J53" s="21" t="str">
        <x:v>白衣渡江</x:v>
      </x:c>
      <x:c r="K53" s="21" t="str">
        <x:v>strike</x:v>
      </x:c>
      <x:c r="L53" s="26" t="n">
        <x:v>1.56</x:v>
      </x:c>
      <x:c r="M53" s="26" t="n">
        <x:v>1</x:v>
      </x:c>
      <x:c r="N53" s="27" t="n">
        <x:v>0</x:v>
      </x:c>
      <x:c r="O53" s="27" t="n">
        <x:v>0</x:v>
      </x:c>
      <x:c r="P53" s="27" t="n">
        <x:v>0</x:v>
      </x:c>
      <x:c r="Q53" s="27" t="n">
        <x:v>0</x:v>
      </x:c>
      <x:c r="R53" s="21" t="n">
        <x:v>12.5</x:v>
      </x:c>
      <x:c r="S53" s="21" t="n">
        <x:v>0</x:v>
      </x:c>
      <x:c r="T53" s="21" t="n">
        <x:v>0</x:v>
      </x:c>
      <x:c r="U53" s="21" t="n">
        <x:v>3</x:v>
      </x:c>
      <x:c r="V53" s="28" t="n">
        <x:f>MIN(100,F53/'评分规则'!$B$5*70+IF(I53=1,10,0)+T53+MIN(15,(O53+P53)/MAX(1,H53)/'评分规则'!$B$7*10))</x:f>
        <x:v>41.888888888888886</x:v>
      </x:c>
      <x:c r="W53" s="28" t="n">
        <x:f>MIN(100,((G53*L53*M53+N53)/MAX(1,H53))/'评分规则'!$B$6*70)</x:f>
        <x:v>18.958333333333332</x:v>
      </x:c>
      <x:c r="X53" s="28" t="n">
        <x:f>MIN(100,((O53+P53)/MAX(1,H53))/'评分规则'!$B$7*55+(Q53/MAX(1,H53))/'评分规则'!$B$8*45+R53)</x:f>
        <x:v>12.5</x:v>
      </x:c>
      <x:c r="Y53" s="28" t="n">
        <x:f>MIN(100,'评分规则'!$B$9/MAX(0.1,H53)*65+I53*7+S53)</x:f>
        <x:v>57.78125</x:v>
      </x:c>
      <x:c r="Z53" s="28" t="n">
        <x:f>MIN(100,U53/'评分规则'!$B$10*75+25)</x:f>
        <x:v>100</x:v>
      </x:c>
      <x:c r="AA53" s="28" t="n">
        <x:f>V53*'评分规则'!$B$11+MAX(W53,X53)*'评分规则'!$B$12+MIN(W53,X53)*'评分规则'!$B$13+Y53*'评分规则'!$B$14+Z53*'评分规则'!$B$15</x:f>
        <x:v>47.517361111111114</x:v>
      </x:c>
      <x:c r="AB53" s="22" t="str">
        <x:f>IF(AA53&gt;=72,"S",IF(AA53&gt;=64,"A",IF(AA53&gt;=52,"B",IF(AA53&gt;=42,"C","D"))))</x:f>
        <x:v>C</x:v>
      </x:c>
      <x:c r="AC53" s="22" t="str">
        <x:f>IF(AA53&gt;='评分规则'!$B$16,"偏强",IF(AA53&lt;='评分规则'!$B$17,"偏弱","合理"))</x:f>
        <x:v>合理</x:v>
      </x:c>
      <x:c r="AD53" s="22" t="str">
        <x:f>B53&amp;"：生存"&amp;ROUND(V53,0)&amp;" / 输出"&amp;ROUND(W53,0)&amp;" / 功能"&amp;ROUND(X53,0)&amp;" / 节奏"&amp;ROUND(Y53,0)&amp;" / 羁绊"&amp;ROUND(Z53,0)&amp;"。主要优势在"&amp;IF(MAX(V53:Z53)=V53,"身板",IF(MAX(V53:Z53)=W53,"输出",IF(MAX(V53:Z53)=X53,"功能",IF(MAX(V53:Z53)=Y53,"节奏","构筑兼容"))))&amp;"。"</x:f>
        <x:v>吕蒙：生存42 / 输出19 / 功能13 / 节奏58 / 羁绊100。主要优势在构筑兼容。</x:v>
      </x:c>
      <x:c r="AE53" s="22" t="str">
        <x:f>IF(AC53="偏强","建议先下调"&amp;IF(MAX(V53:Z53)=W53,"技能系数或目标数",IF(MAX(V53:Z53)=Y53,"行动条收益或读条速度",IF(MAX(V53:Z53)=X53,"控制/治疗/护盾强度","最高分项约5%~10%")))&amp;"，再做镜像对战验证。",IF(AC53="偏弱","建议优先补足"&amp;IF(MAX(W53,X53)=W53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3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东吴都督（周瑜、陆逊、鲁肃、吕蒙）：潜袭后使行动条最低的另一名都督获得20%行动条。
白衣奇袭（吕蒙、甘宁）：释放主动后使甘宁潜行1.5秒。</x:v>
      </x:c>
      <x:c r="AG53" s="23" t="str">
        <x:v>{"base_value":78,"bonus_burning":0.55,"mult":1.55,"stealth":2.5,"target_mode":"back_low"}</x:v>
      </x:c>
    </x:row>
    <x:row r="54" ht="42" customHeight="1">
      <x:c r="A54" s="21" t="str">
        <x:v>sunce</x:v>
      </x:c>
      <x:c r="B54" s="21" t="str">
        <x:v>孙策</x:v>
      </x:c>
      <x:c r="C54" s="21" t="str">
        <x:v>Sun Ce</x:v>
      </x:c>
      <x:c r="D54" s="40" t="str">
        <x:v>吴</x:v>
      </x:c>
      <x:c r="E54" s="21" t="str">
        <x:v>战士 / 收割</x:v>
      </x:c>
      <x:c r="F54" s="24" t="n">
        <x:v>1240</x:v>
      </x:c>
      <x:c r="G54" s="24" t="n">
        <x:v>59</x:v>
      </x:c>
      <x:c r="H54" s="25" t="n">
        <x:v>2.9</x:v>
      </x:c>
      <x:c r="I54" s="21" t="n">
        <x:v>1</x:v>
      </x:c>
      <x:c r="J54" s="21" t="str">
        <x:v>小霸王</x:v>
      </x:c>
      <x:c r="K54" s="21" t="str">
        <x:v>drain</x:v>
      </x:c>
      <x:c r="L54" s="26" t="n">
        <x:v>1.54</x:v>
      </x:c>
      <x:c r="M54" s="26" t="n">
        <x:v>1</x:v>
      </x:c>
      <x:c r="N54" s="27" t="n">
        <x:v>0</x:v>
      </x:c>
      <x:c r="O54" s="27" t="n">
        <x:v>0</x:v>
      </x:c>
      <x:c r="P54" s="27" t="n">
        <x:v>0</x:v>
      </x:c>
      <x:c r="Q54" s="27" t="n">
        <x:v>0</x:v>
      </x:c>
      <x:c r="R54" s="21" t="n">
        <x:v>0</x:v>
      </x:c>
      <x:c r="S54" s="21" t="n">
        <x:v>0</x:v>
      </x:c>
      <x:c r="T54" s="21" t="n">
        <x:v>8</x:v>
      </x:c>
      <x:c r="U54" s="21" t="n">
        <x:v>2</x:v>
      </x:c>
      <x:c r="V54" s="28" t="n">
        <x:f>MIN(100,F54/'评分规则'!$B$5*70+IF(I54=1,10,0)+T54+MIN(15,(O54+P54)/MAX(1,H54)/'评分规则'!$B$7*10))</x:f>
        <x:v>66.22222222222223</x:v>
      </x:c>
      <x:c r="W54" s="28" t="n">
        <x:f>MIN(100,((G54*L54*M54+N54)/MAX(1,H54))/'评分规则'!$B$6*70)</x:f>
        <x:v>24.36858237547893</x:v>
      </x:c>
      <x:c r="X54" s="28" t="n">
        <x:f>MIN(100,((O54+P54)/MAX(1,H54))/'评分规则'!$B$7*55+(Q54/MAX(1,H54))/'评分规则'!$B$8*45+R54)</x:f>
        <x:v>0</x:v>
      </x:c>
      <x:c r="Y54" s="28" t="n">
        <x:f>MIN(100,'评分规则'!$B$9/MAX(0.1,H54)*65+I54*7+S54)</x:f>
        <x:v>63.03448275862069</x:v>
      </x:c>
      <x:c r="Z54" s="28" t="n">
        <x:f>MIN(100,U54/'评分规则'!$B$10*75+25)</x:f>
        <x:v>75</x:v>
      </x:c>
      <x:c r="AA54" s="28" t="n">
        <x:f>V54*'评分规则'!$B$11+MAX(W54,X54)*'评分规则'!$B$12+MIN(W54,X54)*'评分规则'!$B$13+Y54*'评分规则'!$B$14+Z54*'评分规则'!$B$15</x:f>
        <x:v>50.59877394636016</x:v>
      </x:c>
      <x:c r="AB54" s="22" t="str">
        <x:f>IF(AA54&gt;=72,"S",IF(AA54&gt;=64,"A",IF(AA54&gt;=52,"B",IF(AA54&gt;=42,"C","D"))))</x:f>
        <x:v>C</x:v>
      </x:c>
      <x:c r="AC54" s="22" t="str">
        <x:f>IF(AA54&gt;='评分规则'!$B$16,"偏强",IF(AA54&lt;='评分规则'!$B$17,"偏弱","合理"))</x:f>
        <x:v>合理</x:v>
      </x:c>
      <x:c r="AD54" s="22" t="str">
        <x:f>B54&amp;"：生存"&amp;ROUND(V54,0)&amp;" / 输出"&amp;ROUND(W54,0)&amp;" / 功能"&amp;ROUND(X54,0)&amp;" / 节奏"&amp;ROUND(Y54,0)&amp;" / 羁绊"&amp;ROUND(Z54,0)&amp;"。主要优势在"&amp;IF(MAX(V54:Z54)=V54,"身板",IF(MAX(V54:Z54)=W54,"输出",IF(MAX(V54:Z54)=X54,"功能",IF(MAX(V54:Z54)=Y54,"节奏","构筑兼容"))))&amp;"。"</x:f>
        <x:v>孙策：生存66 / 输出24 / 功能0 / 节奏63 / 羁绊75。主要优势在构筑兼容。</x:v>
      </x:c>
      <x:c r="AE54" s="22" t="str">
        <x:f>IF(AC54="偏强","建议先下调"&amp;IF(MAX(V54:Z54)=W54,"技能系数或目标数",IF(MAX(V54:Z54)=Y54,"行动条收益或读条速度",IF(MAX(V54:Z54)=X54,"控制/治疗/护盾强度","最高分项约5%~10%")))&amp;"，再做镜像对战验证。",IF(AC54="偏弱","建议优先补足"&amp;IF(MAX(W54,X54)=W54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4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孙氏之志（孙坚、孙策、孙权、孙尚香）：阵亡时触发孙氏传承。</x:v>
      </x:c>
      <x:c r="AG54" s="23" t="str">
        <x:v>{"base_value":91,"heal":0.4,"mult":1.55}</x:v>
      </x:c>
    </x:row>
    <x:row r="55" ht="42" customHeight="1">
      <x:c r="A55" s="21" t="str">
        <x:v>sunjian</x:v>
      </x:c>
      <x:c r="B55" s="21" t="str">
        <x:v>孙坚</x:v>
      </x:c>
      <x:c r="C55" s="21" t="str">
        <x:v>Sun Jian</x:v>
      </x:c>
      <x:c r="D55" s="40" t="str">
        <x:v>吴</x:v>
      </x:c>
      <x:c r="E55" s="21" t="str">
        <x:v>战士 / 爆发</x:v>
      </x:c>
      <x:c r="F55" s="24" t="n">
        <x:v>1100</x:v>
      </x:c>
      <x:c r="G55" s="24" t="n">
        <x:v>52</x:v>
      </x:c>
      <x:c r="H55" s="25" t="n">
        <x:v>3</x:v>
      </x:c>
      <x:c r="I55" s="21" t="n">
        <x:v>1</x:v>
      </x:c>
      <x:c r="J55" s="21" t="str">
        <x:v>江东猛虎</x:v>
      </x:c>
      <x:c r="K55" s="21" t="str">
        <x:v>strike</x:v>
      </x:c>
      <x:c r="L55" s="26" t="n">
        <x:v>1.9</x:v>
      </x:c>
      <x:c r="M55" s="26" t="n">
        <x:v>1</x:v>
      </x:c>
      <x:c r="N55" s="27" t="n">
        <x:v>0</x:v>
      </x:c>
      <x:c r="O55" s="27" t="n">
        <x:v>0</x:v>
      </x:c>
      <x:c r="P55" s="27" t="n">
        <x:v>0</x:v>
      </x:c>
      <x:c r="Q55" s="27" t="n">
        <x:v>0</x:v>
      </x:c>
      <x:c r="R55" s="21" t="n">
        <x:v>0</x:v>
      </x:c>
      <x:c r="S55" s="21" t="n">
        <x:v>0</x:v>
      </x:c>
      <x:c r="T55" s="21" t="n">
        <x:v>8</x:v>
      </x:c>
      <x:c r="U55" s="21" t="n">
        <x:v>2</x:v>
      </x:c>
      <x:c r="V55" s="28" t="n">
        <x:f>MIN(100,F55/'评分规则'!$B$5*70+IF(I55=1,10,0)+T55+MIN(15,(O55+P55)/MAX(1,H55)/'评分规则'!$B$7*10))</x:f>
        <x:v>60.77777777777778</x:v>
      </x:c>
      <x:c r="W55" s="28" t="n">
        <x:f>MIN(100,((G55*L55*M55+N55)/MAX(1,H55))/'评分规则'!$B$6*70)</x:f>
        <x:v>25.61481481481481</x:v>
      </x:c>
      <x:c r="X55" s="28" t="n">
        <x:f>MIN(100,((O55+P55)/MAX(1,H55))/'评分规则'!$B$7*55+(Q55/MAX(1,H55))/'评分规则'!$B$8*45+R55)</x:f>
        <x:v>0</x:v>
      </x:c>
      <x:c r="Y55" s="28" t="n">
        <x:f>MIN(100,'评分规则'!$B$9/MAX(0.1,H55)*65+I55*7+S55)</x:f>
        <x:v>61.16666666666667</x:v>
      </x:c>
      <x:c r="Z55" s="28" t="n">
        <x:f>MIN(100,U55/'评分规则'!$B$10*75+25)</x:f>
        <x:v>75</x:v>
      </x:c>
      <x:c r="AA55" s="28" t="n">
        <x:f>V55*'评分规则'!$B$11+MAX(W55,X55)*'评分规则'!$B$12+MIN(W55,X55)*'评分规则'!$B$13+Y55*'评分规则'!$B$14+Z55*'评分规则'!$B$15</x:f>
        <x:v>49.63481481481482</x:v>
      </x:c>
      <x:c r="AB55" s="22" t="str">
        <x:f>IF(AA55&gt;=72,"S",IF(AA55&gt;=64,"A",IF(AA55&gt;=52,"B",IF(AA55&gt;=42,"C","D"))))</x:f>
        <x:v>C</x:v>
      </x:c>
      <x:c r="AC55" s="22" t="str">
        <x:f>IF(AA55&gt;='评分规则'!$B$16,"偏强",IF(AA55&lt;='评分规则'!$B$17,"偏弱","合理"))</x:f>
        <x:v>合理</x:v>
      </x:c>
      <x:c r="AD55" s="22" t="str">
        <x:f>B55&amp;"：生存"&amp;ROUND(V55,0)&amp;" / 输出"&amp;ROUND(W55,0)&amp;" / 功能"&amp;ROUND(X55,0)&amp;" / 节奏"&amp;ROUND(Y55,0)&amp;" / 羁绊"&amp;ROUND(Z55,0)&amp;"。主要优势在"&amp;IF(MAX(V55:Z55)=V55,"身板",IF(MAX(V55:Z55)=W55,"输出",IF(MAX(V55:Z55)=X55,"功能",IF(MAX(V55:Z55)=Y55,"节奏","构筑兼容"))))&amp;"。"</x:f>
        <x:v>孙坚：生存61 / 输出26 / 功能0 / 节奏61 / 羁绊75。主要优势在构筑兼容。</x:v>
      </x:c>
      <x:c r="AE55" s="22" t="str">
        <x:f>IF(AC55="偏强","建议先下调"&amp;IF(MAX(V55:Z55)=W55,"技能系数或目标数",IF(MAX(V55:Z55)=Y55,"行动条收益或读条速度",IF(MAX(V55:Z55)=X55,"控制/治疗/护盾强度","最高分项约5%~10%")))&amp;"，再做镜像对战验证。",IF(AC55="偏弱","建议优先补足"&amp;IF(MAX(W55,X55)=W55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5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孙氏之志（孙坚、孙策、孙权、孙尚香）：阵亡时触发孙氏传承。</x:v>
      </x:c>
      <x:c r="AG55" s="23" t="str">
        <x:v>{"base_value":99,"mult":1.9}</x:v>
      </x:c>
    </x:row>
    <x:row r="56" ht="42" customHeight="1">
      <x:c r="A56" s="21" t="str">
        <x:v>sunquan</x:v>
      </x:c>
      <x:c r="B56" s="21" t="str">
        <x:v>孙权</x:v>
      </x:c>
      <x:c r="C56" s="21" t="str">
        <x:v>Sun Quan</x:v>
      </x:c>
      <x:c r="D56" s="40" t="str">
        <x:v>吴</x:v>
      </x:c>
      <x:c r="E56" s="21" t="str">
        <x:v>辅助 / 战士</x:v>
      </x:c>
      <x:c r="F56" s="24" t="n">
        <x:v>1140</x:v>
      </x:c>
      <x:c r="G56" s="24" t="n">
        <x:v>38</x:v>
      </x:c>
      <x:c r="H56" s="25" t="n">
        <x:v>3.4</x:v>
      </x:c>
      <x:c r="I56" s="21" t="n">
        <x:v>3</x:v>
      </x:c>
      <x:c r="J56" s="21" t="str">
        <x:v>制衡号令</x:v>
      </x:c>
      <x:c r="K56" s="21" t="str">
        <x:v>buff_column</x:v>
      </x:c>
      <x:c r="L56" s="26" t="n">
        <x:v>0</x:v>
      </x:c>
      <x:c r="M56" s="26" t="n">
        <x:v>1</x:v>
      </x:c>
      <x:c r="N56" s="27" t="n">
        <x:v>0</x:v>
      </x:c>
      <x:c r="O56" s="27" t="n">
        <x:v>0</x:v>
      </x:c>
      <x:c r="P56" s="27" t="n">
        <x:v>0</x:v>
      </x:c>
      <x:c r="Q56" s="27" t="n">
        <x:v>0</x:v>
      </x:c>
      <x:c r="R56" s="21" t="n">
        <x:v>65</x:v>
      </x:c>
      <x:c r="S56" s="21" t="n">
        <x:v>0</x:v>
      </x:c>
      <x:c r="T56" s="21" t="n">
        <x:v>8</x:v>
      </x:c>
      <x:c r="U56" s="21" t="n">
        <x:v>2</x:v>
      </x:c>
      <x:c r="V56" s="28" t="n">
        <x:f>MIN(100,F56/'评分规则'!$B$5*70+IF(I56=1,10,0)+T56+MIN(15,(O56+P56)/MAX(1,H56)/'评分规则'!$B$7*10))</x:f>
        <x:v>52.33333333333333</x:v>
      </x:c>
      <x:c r="W56" s="28" t="n">
        <x:f>MIN(100,((G56*L56*M56+N56)/MAX(1,H56))/'评分规则'!$B$6*70)</x:f>
        <x:v>0</x:v>
      </x:c>
      <x:c r="X56" s="28" t="n">
        <x:f>MIN(100,((O56+P56)/MAX(1,H56))/'评分规则'!$B$7*55+(Q56/MAX(1,H56))/'评分规则'!$B$8*45+R56)</x:f>
        <x:v>65</x:v>
      </x:c>
      <x:c r="Y56" s="28" t="n">
        <x:f>MIN(100,'评分规则'!$B$9/MAX(0.1,H56)*65+I56*7+S56)</x:f>
        <x:v>68.79411764705883</x:v>
      </x:c>
      <x:c r="Z56" s="28" t="n">
        <x:f>MIN(100,U56/'评分规则'!$B$10*75+25)</x:f>
        <x:v>75</x:v>
      </x:c>
      <x:c r="AA56" s="28" t="n">
        <x:f>V56*'评分规则'!$B$11+MAX(W56,X56)*'评分规则'!$B$12+MIN(W56,X56)*'评分规则'!$B$13+Y56*'评分规则'!$B$14+Z56*'评分规则'!$B$15</x:f>
        <x:v>65.22549019607843</x:v>
      </x:c>
      <x:c r="AB56" s="22" t="str">
        <x:f>IF(AA56&gt;=72,"S",IF(AA56&gt;=64,"A",IF(AA56&gt;=52,"B",IF(AA56&gt;=42,"C","D"))))</x:f>
        <x:v>A</x:v>
      </x:c>
      <x:c r="AC56" s="22" t="str">
        <x:f>IF(AA56&gt;='评分规则'!$B$16,"偏强",IF(AA56&lt;='评分规则'!$B$17,"偏弱","合理"))</x:f>
        <x:v>合理</x:v>
      </x:c>
      <x:c r="AD56" s="22" t="str">
        <x:f>B56&amp;"：生存"&amp;ROUND(V56,0)&amp;" / 输出"&amp;ROUND(W56,0)&amp;" / 功能"&amp;ROUND(X56,0)&amp;" / 节奏"&amp;ROUND(Y56,0)&amp;" / 羁绊"&amp;ROUND(Z56,0)&amp;"。主要优势在"&amp;IF(MAX(V56:Z56)=V56,"身板",IF(MAX(V56:Z56)=W56,"输出",IF(MAX(V56:Z56)=X56,"功能",IF(MAX(V56:Z56)=Y56,"节奏","构筑兼容"))))&amp;"。"</x:f>
        <x:v>孙权：生存52 / 输出0 / 功能65 / 节奏69 / 羁绊75。主要优势在构筑兼容。</x:v>
      </x:c>
      <x:c r="AE56" s="22" t="str">
        <x:f>IF(AC56="偏强","建议先下调"&amp;IF(MAX(V56:Z56)=W56,"技能系数或目标数",IF(MAX(V56:Z56)=Y56,"行动条收益或读条速度",IF(MAX(V56:Z56)=X56,"控制/治疗/护盾强度","最高分项约5%~10%")))&amp;"，再做镜像对战验证。",IF(AC56="偏弱","建议优先补足"&amp;IF(MAX(W56,X56)=W56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6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孙氏之志（孙坚、孙策、孙权、孙尚香）：任一孙氏成员阵亡时获得30%行动条。</x:v>
      </x:c>
      <x:c r="AG56" s="23" t="str">
        <x:v>{"damage":0.2,"heal_ratio":0.05}</x:v>
      </x:c>
    </x:row>
    <x:row r="57" ht="42" customHeight="1">
      <x:c r="A57" s="21" t="str">
        <x:v>sunshangxiang</x:v>
      </x:c>
      <x:c r="B57" s="21" t="str">
        <x:v>孙尚香</x:v>
      </x:c>
      <x:c r="C57" s="21" t="str">
        <x:v>Sun Shangxiang</x:v>
      </x:c>
      <x:c r="D57" s="40" t="str">
        <x:v>吴</x:v>
      </x:c>
      <x:c r="E57" s="21" t="str">
        <x:v>战士 / 爆发</x:v>
      </x:c>
      <x:c r="F57" s="24" t="n">
        <x:v>720</x:v>
      </x:c>
      <x:c r="G57" s="24" t="n">
        <x:v>46</x:v>
      </x:c>
      <x:c r="H57" s="25" t="n">
        <x:v>2.7</x:v>
      </x:c>
      <x:c r="I57" s="21" t="n">
        <x:v>3</x:v>
      </x:c>
      <x:c r="J57" s="21" t="str">
        <x:v>枭姬连弩</x:v>
      </x:c>
      <x:c r="K57" s="21" t="str">
        <x:v>multi</x:v>
      </x:c>
      <x:c r="L57" s="26" t="n">
        <x:v>0.72</x:v>
      </x:c>
      <x:c r="M57" s="26" t="n">
        <x:v>2</x:v>
      </x:c>
      <x:c r="N57" s="27" t="n">
        <x:v>0</x:v>
      </x:c>
      <x:c r="O57" s="27" t="n">
        <x:v>0</x:v>
      </x:c>
      <x:c r="P57" s="27" t="n">
        <x:v>0</x:v>
      </x:c>
      <x:c r="Q57" s="27" t="n">
        <x:v>0</x:v>
      </x:c>
      <x:c r="R57" s="21" t="n">
        <x:v>0</x:v>
      </x:c>
      <x:c r="S57" s="21" t="n">
        <x:v>0</x:v>
      </x:c>
      <x:c r="T57" s="21" t="n">
        <x:v>8</x:v>
      </x:c>
      <x:c r="U57" s="21" t="n">
        <x:v>2</x:v>
      </x:c>
      <x:c r="V57" s="28" t="n">
        <x:f>MIN(100,F57/'评分规则'!$B$5*70+IF(I57=1,10,0)+T57+MIN(15,(O57+P57)/MAX(1,H57)/'评分规则'!$B$7*10))</x:f>
        <x:v>36</x:v>
      </x:c>
      <x:c r="W57" s="28" t="n">
        <x:f>MIN(100,((G57*L57*M57+N57)/MAX(1,H57))/'评分规则'!$B$6*70)</x:f>
        <x:v>19.08148148148148</x:v>
      </x:c>
      <x:c r="X57" s="28" t="n">
        <x:f>MIN(100,((O57+P57)/MAX(1,H57))/'评分规则'!$B$7*55+(Q57/MAX(1,H57))/'评分规则'!$B$8*45+R57)</x:f>
        <x:v>0</x:v>
      </x:c>
      <x:c r="Y57" s="28" t="n">
        <x:f>MIN(100,'评分规则'!$B$9/MAX(0.1,H57)*65+I57*7+S57)</x:f>
        <x:v>81.18518518518518</x:v>
      </x:c>
      <x:c r="Z57" s="28" t="n">
        <x:f>MIN(100,U57/'评分规则'!$B$10*75+25)</x:f>
        <x:v>75</x:v>
      </x:c>
      <x:c r="AA57" s="28" t="n">
        <x:f>V57*'评分规则'!$B$11+MAX(W57,X57)*'评分规则'!$B$12+MIN(W57,X57)*'评分规则'!$B$13+Y57*'评分规则'!$B$14+Z57*'评分规则'!$B$15</x:f>
        <x:v>46.06962962962963</x:v>
      </x:c>
      <x:c r="AB57" s="22" t="str">
        <x:f>IF(AA57&gt;=72,"S",IF(AA57&gt;=64,"A",IF(AA57&gt;=52,"B",IF(AA57&gt;=42,"C","D"))))</x:f>
        <x:v>C</x:v>
      </x:c>
      <x:c r="AC57" s="22" t="str">
        <x:f>IF(AA57&gt;='评分规则'!$B$16,"偏强",IF(AA57&lt;='评分规则'!$B$17,"偏弱","合理"))</x:f>
        <x:v>合理</x:v>
      </x:c>
      <x:c r="AD57" s="22" t="str">
        <x:f>B57&amp;"：生存"&amp;ROUND(V57,0)&amp;" / 输出"&amp;ROUND(W57,0)&amp;" / 功能"&amp;ROUND(X57,0)&amp;" / 节奏"&amp;ROUND(Y57,0)&amp;" / 羁绊"&amp;ROUND(Z57,0)&amp;"。主要优势在"&amp;IF(MAX(V57:Z57)=V57,"身板",IF(MAX(V57:Z57)=W57,"输出",IF(MAX(V57:Z57)=X57,"功能",IF(MAX(V57:Z57)=Y57,"节奏","构筑兼容"))))&amp;"。"</x:f>
        <x:v>孙尚香：生存36 / 输出19 / 功能0 / 节奏81 / 羁绊75。主要优势在节奏。</x:v>
      </x:c>
      <x:c r="AE57" s="22" t="str">
        <x:f>IF(AC57="偏强","建议先下调"&amp;IF(MAX(V57:Z57)=W57,"技能系数或目标数",IF(MAX(V57:Z57)=Y57,"行动条收益或读条速度",IF(MAX(V57:Z57)=X57,"控制/治疗/护盾强度","最高分项约5%~10%")))&amp;"，再做镜像对战验证。",IF(AC57="偏弱","建议优先补足"&amp;IF(MAX(W57,X57)=W57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7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孙氏之志（孙坚、孙策、孙权、孙尚香）：任一孙氏成员阵亡时立即将行动条充满。</x:v>
      </x:c>
      <x:c r="AG57" s="23" t="str">
        <x:v>{"base_value":33,"count":2,"death_barrage":true,"mult":0.72,"target_mode":"back_low"}</x:v>
      </x:c>
    </x:row>
    <x:row r="58" ht="42" customHeight="1">
      <x:c r="A58" s="21" t="str">
        <x:v>xiaoqiao</x:v>
      </x:c>
      <x:c r="B58" s="21" t="str">
        <x:v>小乔</x:v>
      </x:c>
      <x:c r="C58" s="21" t="str">
        <x:v>Xiao Qiao</x:v>
      </x:c>
      <x:c r="D58" s="40" t="str">
        <x:v>吴</x:v>
      </x:c>
      <x:c r="E58" s="21" t="str">
        <x:v>辅助 / 控制</x:v>
      </x:c>
      <x:c r="F58" s="24" t="n">
        <x:v>660</x:v>
      </x:c>
      <x:c r="G58" s="24" t="n">
        <x:v>35</x:v>
      </x:c>
      <x:c r="H58" s="25" t="n">
        <x:v>3.5</x:v>
      </x:c>
      <x:c r="I58" s="21" t="n">
        <x:v>3</x:v>
      </x:c>
      <x:c r="J58" s="21" t="str">
        <x:v>天香缓阵</x:v>
      </x:c>
      <x:c r="K58" s="21" t="str">
        <x:v>control</x:v>
      </x:c>
      <x:c r="L58" s="26" t="n">
        <x:v>0.51</x:v>
      </x:c>
      <x:c r="M58" s="26" t="n">
        <x:v>1</x:v>
      </x:c>
      <x:c r="N58" s="27" t="n">
        <x:v>0</x:v>
      </x:c>
      <x:c r="O58" s="27" t="n">
        <x:v>0</x:v>
      </x:c>
      <x:c r="P58" s="27" t="n">
        <x:v>0</x:v>
      </x:c>
      <x:c r="Q58" s="27" t="n">
        <x:v>1.6</x:v>
      </x:c>
      <x:c r="R58" s="21" t="n">
        <x:v>0</x:v>
      </x:c>
      <x:c r="S58" s="21" t="n">
        <x:v>0</x:v>
      </x:c>
      <x:c r="T58" s="21" t="n">
        <x:v>0</x:v>
      </x:c>
      <x:c r="U58" s="21" t="n">
        <x:v>2</x:v>
      </x:c>
      <x:c r="V58" s="28" t="n">
        <x:f>MIN(100,F58/'评分规则'!$B$5*70+IF(I58=1,10,0)+T58+MIN(15,(O58+P58)/MAX(1,H58)/'评分规则'!$B$7*10))</x:f>
        <x:v>25.666666666666664</x:v>
      </x:c>
      <x:c r="W58" s="28" t="n">
        <x:f>MIN(100,((G58*L58*M58+N58)/MAX(1,H58))/'评分规则'!$B$6*70)</x:f>
        <x:v>3.966666666666667</x:v>
      </x:c>
      <x:c r="X58" s="28" t="n">
        <x:f>MIN(100,((O58+P58)/MAX(1,H58))/'评分规则'!$B$7*55+(Q58/MAX(1,H58))/'评分规则'!$B$8*45+R58)</x:f>
        <x:v>41.142857142857146</x:v>
      </x:c>
      <x:c r="Y58" s="28" t="n">
        <x:f>MIN(100,'评分规则'!$B$9/MAX(0.1,H58)*65+I58*7+S58)</x:f>
        <x:v>67.42857142857143</x:v>
      </x:c>
      <x:c r="Z58" s="28" t="n">
        <x:f>MIN(100,U58/'评分规则'!$B$10*75+25)</x:f>
        <x:v>75</x:v>
      </x:c>
      <x:c r="AA58" s="28" t="n">
        <x:f>V58*'评分规则'!$B$11+MAX(W58,X58)*'评分规则'!$B$12+MIN(W58,X58)*'评分规则'!$B$13+Y58*'评分规则'!$B$14+Z58*'评分规则'!$B$15</x:f>
        <x:v>50.076190476190476</x:v>
      </x:c>
      <x:c r="AB58" s="22" t="str">
        <x:f>IF(AA58&gt;=72,"S",IF(AA58&gt;=64,"A",IF(AA58&gt;=52,"B",IF(AA58&gt;=42,"C","D"))))</x:f>
        <x:v>C</x:v>
      </x:c>
      <x:c r="AC58" s="22" t="str">
        <x:f>IF(AA58&gt;='评分规则'!$B$16,"偏强",IF(AA58&lt;='评分规则'!$B$17,"偏弱","合理"))</x:f>
        <x:v>合理</x:v>
      </x:c>
      <x:c r="AD58" s="22" t="str">
        <x:f>B58&amp;"：生存"&amp;ROUND(V58,0)&amp;" / 输出"&amp;ROUND(W58,0)&amp;" / 功能"&amp;ROUND(X58,0)&amp;" / 节奏"&amp;ROUND(Y58,0)&amp;" / 羁绊"&amp;ROUND(Z58,0)&amp;"。主要优势在"&amp;IF(MAX(V58:Z58)=V58,"身板",IF(MAX(V58:Z58)=W58,"输出",IF(MAX(V58:Z58)=X58,"功能",IF(MAX(V58:Z58)=Y58,"节奏","构筑兼容"))))&amp;"。"</x:f>
        <x:v>小乔：生存26 / 输出4 / 功能41 / 节奏67 / 羁绊75。主要优势在构筑兼容。</x:v>
      </x:c>
      <x:c r="AE58" s="22" t="str">
        <x:f>IF(AC58="偏强","建议先下调"&amp;IF(MAX(V58:Z58)=W58,"技能系数或目标数",IF(MAX(V58:Z58)=Y58,"行动条收益或读条速度",IF(MAX(V58:Z58)=X58,"控制/治疗/护盾强度","最高分项约5%~10%")))&amp;"，再做镜像对战验证。",IF(AC58="偏弱","建议优先补足"&amp;IF(MAX(W58,X58)=W58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8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江东双姝（大乔、小乔）：控制持续时间提高50%。</x:v>
      </x:c>
      <x:c r="AG58" s="23" t="str">
        <x:v>{"base_value":18,"mult":0.5,"stun":1.6}</x:v>
      </x:c>
    </x:row>
    <x:row r="59" ht="42" customHeight="1">
      <x:c r="A59" s="21" t="str">
        <x:v>xusheng</x:v>
      </x:c>
      <x:c r="B59" s="21" t="str">
        <x:v>徐盛</x:v>
      </x:c>
      <x:c r="C59" s="21" t="str">
        <x:v>Xu Sheng</x:v>
      </x:c>
      <x:c r="D59" s="40" t="str">
        <x:v>吴</x:v>
      </x:c>
      <x:c r="E59" s="21" t="str">
        <x:v>坦克 / 控制</x:v>
      </x:c>
      <x:c r="F59" s="24" t="n">
        <x:v>1320</x:v>
      </x:c>
      <x:c r="G59" s="24" t="n">
        <x:v>43</x:v>
      </x:c>
      <x:c r="H59" s="25" t="n">
        <x:v>3.2</x:v>
      </x:c>
      <x:c r="I59" s="21" t="n">
        <x:v>1</x:v>
      </x:c>
      <x:c r="J59" s="21" t="str">
        <x:v>疑城水阵</x:v>
      </x:c>
      <x:c r="K59" s="21" t="str">
        <x:v>row_magic</x:v>
      </x:c>
      <x:c r="L59" s="26" t="n">
        <x:v>0.65</x:v>
      </x:c>
      <x:c r="M59" s="26" t="n">
        <x:v>2.2</x:v>
      </x:c>
      <x:c r="N59" s="27" t="n">
        <x:v>0</x:v>
      </x:c>
      <x:c r="O59" s="27" t="n">
        <x:v>0</x:v>
      </x:c>
      <x:c r="P59" s="27" t="n">
        <x:v>0</x:v>
      </x:c>
      <x:c r="Q59" s="27" t="n">
        <x:v>0.8</x:v>
      </x:c>
      <x:c r="R59" s="21" t="n">
        <x:v>0</x:v>
      </x:c>
      <x:c r="S59" s="21" t="n">
        <x:v>0</x:v>
      </x:c>
      <x:c r="T59" s="21" t="n">
        <x:v>20</x:v>
      </x:c>
      <x:c r="U59" s="21" t="n">
        <x:v>1</x:v>
      </x:c>
      <x:c r="V59" s="28" t="n">
        <x:f>MIN(100,F59/'评分规则'!$B$5*70+IF(I59=1,10,0)+T59+MIN(15,(O59+P59)/MAX(1,H59)/'评分规则'!$B$7*10))</x:f>
        <x:v>81.33333333333333</x:v>
      </x:c>
      <x:c r="W59" s="28" t="n">
        <x:f>MIN(100,((G59*L59*M59+N59)/MAX(1,H59))/'评分规则'!$B$6*70)</x:f>
        <x:v>14.94548611111111</x:v>
      </x:c>
      <x:c r="X59" s="28" t="n">
        <x:f>MIN(100,((O59+P59)/MAX(1,H59))/'评分规则'!$B$7*55+(Q59/MAX(1,H59))/'评分规则'!$B$8*45+R59)</x:f>
        <x:v>22.5</x:v>
      </x:c>
      <x:c r="Y59" s="28" t="n">
        <x:f>MIN(100,'评分规则'!$B$9/MAX(0.1,H59)*65+I59*7+S59)</x:f>
        <x:v>57.78125</x:v>
      </x:c>
      <x:c r="Z59" s="28" t="n">
        <x:f>MIN(100,U59/'评分规则'!$B$10*75+25)</x:f>
        <x:v>50</x:v>
      </x:c>
      <x:c r="AA59" s="28" t="n">
        <x:f>V59*'评分规则'!$B$11+MAX(W59,X59)*'评分规则'!$B$12+MIN(W59,X59)*'评分规则'!$B$13+Y59*'评分规则'!$B$14+Z59*'评分规则'!$B$15</x:f>
        <x:v>46.822916666666664</x:v>
      </x:c>
      <x:c r="AB59" s="22" t="str">
        <x:f>IF(AA59&gt;=72,"S",IF(AA59&gt;=64,"A",IF(AA59&gt;=52,"B",IF(AA59&gt;=42,"C","D"))))</x:f>
        <x:v>C</x:v>
      </x:c>
      <x:c r="AC59" s="22" t="str">
        <x:f>IF(AA59&gt;='评分规则'!$B$16,"偏强",IF(AA59&lt;='评分规则'!$B$17,"偏弱","合理"))</x:f>
        <x:v>合理</x:v>
      </x:c>
      <x:c r="AD59" s="22" t="str">
        <x:f>B59&amp;"：生存"&amp;ROUND(V59,0)&amp;" / 输出"&amp;ROUND(W59,0)&amp;" / 功能"&amp;ROUND(X59,0)&amp;" / 节奏"&amp;ROUND(Y59,0)&amp;" / 羁绊"&amp;ROUND(Z59,0)&amp;"。主要优势在"&amp;IF(MAX(V59:Z59)=V59,"身板",IF(MAX(V59:Z59)=W59,"输出",IF(MAX(V59:Z59)=X59,"功能",IF(MAX(V59:Z59)=Y59,"节奏","构筑兼容"))))&amp;"。"</x:f>
        <x:v>徐盛：生存81 / 输出15 / 功能23 / 节奏58 / 羁绊50。主要优势在身板。</x:v>
      </x:c>
      <x:c r="AE59" s="22" t="str">
        <x:f>IF(AC59="偏强","建议先下调"&amp;IF(MAX(V59:Z59)=W59,"技能系数或目标数",IF(MAX(V59:Z59)=Y59,"行动条收益或读条速度",IF(MAX(V59:Z59)=X59,"控制/治疗/护盾强度","最高分项约5%~10%")))&amp;"，再做镜像对战验证。",IF(AC59="偏弱","建议优先补足"&amp;IF(MAX(W59,X59)=W59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59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</x:v>
      </x:c>
      <x:c r="AG59" s="23" t="str">
        <x:v>{"base_value":28,"mult":0.65,"slow":0.2,"slow_time":4,"stun":0.8}</x:v>
      </x:c>
    </x:row>
    <x:row r="60" ht="42" customHeight="1">
      <x:c r="A60" s="21" t="str">
        <x:v>zhouyu</x:v>
      </x:c>
      <x:c r="B60" s="21" t="str">
        <x:v>周瑜</x:v>
      </x:c>
      <x:c r="C60" s="21" t="str">
        <x:v>Zhou Yu</x:v>
      </x:c>
      <x:c r="D60" s="40" t="str">
        <x:v>吴</x:v>
      </x:c>
      <x:c r="E60" s="21" t="str">
        <x:v>法师 / 灼烧</x:v>
      </x:c>
      <x:c r="F60" s="24" t="n">
        <x:v>900</x:v>
      </x:c>
      <x:c r="G60" s="24" t="n">
        <x:v>44</x:v>
      </x:c>
      <x:c r="H60" s="25" t="n">
        <x:v>4</x:v>
      </x:c>
      <x:c r="I60" s="21" t="n">
        <x:v>3</x:v>
      </x:c>
      <x:c r="J60" s="21" t="str">
        <x:v>赤壁点火</x:v>
      </x:c>
      <x:c r="K60" s="21" t="str">
        <x:v>row_magic</x:v>
      </x:c>
      <x:c r="L60" s="26" t="n">
        <x:v>1.16</x:v>
      </x:c>
      <x:c r="M60" s="26" t="n">
        <x:v>2.2</x:v>
      </x:c>
      <x:c r="N60" s="27" t="n">
        <x:v>132</x:v>
      </x:c>
      <x:c r="O60" s="27" t="n">
        <x:v>0</x:v>
      </x:c>
      <x:c r="P60" s="27" t="n">
        <x:v>0</x:v>
      </x:c>
      <x:c r="Q60" s="27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2</x:v>
      </x:c>
      <x:c r="V60" s="28" t="n">
        <x:f>MIN(100,F60/'评分规则'!$B$5*70+IF(I60=1,10,0)+T60+MIN(15,(O60+P60)/MAX(1,H60)/'评分规则'!$B$7*10))</x:f>
        <x:v>35</x:v>
      </x:c>
      <x:c r="W60" s="28" t="n">
        <x:f>MIN(100,((G60*L60*M60+N60)/MAX(1,H60))/'评分规则'!$B$6*70)</x:f>
        <x:v>47.50044444444445</x:v>
      </x:c>
      <x:c r="X60" s="28" t="n">
        <x:f>MIN(100,((O60+P60)/MAX(1,H60))/'评分规则'!$B$7*55+(Q60/MAX(1,H60))/'评分规则'!$B$8*45+R60)</x:f>
        <x:v>0</x:v>
      </x:c>
      <x:c r="Y60" s="28" t="n">
        <x:f>MIN(100,'评分规则'!$B$9/MAX(0.1,H60)*65+I60*7+S60)</x:f>
        <x:v>61.625</x:v>
      </x:c>
      <x:c r="Z60" s="28" t="n">
        <x:f>MIN(100,U60/'评分规则'!$B$10*75+25)</x:f>
        <x:v>75</x:v>
      </x:c>
      <x:c r="AA60" s="28" t="n">
        <x:f>V60*'评分规则'!$B$11+MAX(W60,X60)*'评分规则'!$B$12+MIN(W60,X60)*'评分规则'!$B$13+Y60*'评分规则'!$B$14+Z60*'评分规则'!$B$15</x:f>
        <x:v>53.32517777777778</x:v>
      </x:c>
      <x:c r="AB60" s="22" t="str">
        <x:f>IF(AA60&gt;=72,"S",IF(AA60&gt;=64,"A",IF(AA60&gt;=52,"B",IF(AA60&gt;=42,"C","D"))))</x:f>
        <x:v>B</x:v>
      </x:c>
      <x:c r="AC60" s="22" t="str">
        <x:f>IF(AA60&gt;='评分规则'!$B$16,"偏强",IF(AA60&lt;='评分规则'!$B$17,"偏弱","合理"))</x:f>
        <x:v>合理</x:v>
      </x:c>
      <x:c r="AD60" s="22" t="str">
        <x:f>B60&amp;"：生存"&amp;ROUND(V60,0)&amp;" / 输出"&amp;ROUND(W60,0)&amp;" / 功能"&amp;ROUND(X60,0)&amp;" / 节奏"&amp;ROUND(Y60,0)&amp;" / 羁绊"&amp;ROUND(Z60,0)&amp;"。主要优势在"&amp;IF(MAX(V60:Z60)=V60,"身板",IF(MAX(V60:Z60)=W60,"输出",IF(MAX(V60:Z60)=X60,"功能",IF(MAX(V60:Z60)=Y60,"节奏","构筑兼容"))))&amp;"。"</x:f>
        <x:v>周瑜：生存35 / 输出48 / 功能0 / 节奏62 / 羁绊75。主要优势在构筑兼容。</x:v>
      </x:c>
      <x:c r="AE60" s="22" t="str">
        <x:f>IF(AC60="偏强","建议先下调"&amp;IF(MAX(V60:Z60)=W60,"技能系数或目标数",IF(MAX(V60:Z60)=Y60,"行动条收益或读条速度",IF(MAX(V60:Z60)=X60,"控制/治疗/护盾强度","最高分项约5%~10%")))&amp;"，再做镜像对战验证。",IF(AC60="偏弱","建议优先补足"&amp;IF(MAX(W60,X60)=W60,"技能输出或目标效率","治疗/护盾/控制覆盖率")&amp;"，单次调整控制在5%~12%。","当前静态评分处于合理区间；保持数值，重点监控羁绊阵容中的放大效应。"))</x:f>
        <x:v>当前静态评分处于合理区间；保持数值，重点监控羁绊阵容中的放大效应。</x:v>
      </x:c>
      <x:c r="AF60" s="23" t="str">
        <x:v>江东联动（周瑜、陆逊、鲁肃、吕蒙、孙坚、孙策、孙权、孙尚香、大乔、小乔、蒋钦、徐盛、甘宁、黄盖）：本武将属于都督接力时，释放主动技能会让行动条最低的另一名成员获得20%行动条。
东吴都督（周瑜、陆逊、鲁肃、吕蒙）：释放赤壁点火后，使行动条最低的另一名都督获得20%行动条。</x:v>
      </x:c>
      <x:c r="AG60" s="23" t="str">
        <x:v>{"base_value":51,"burn":5,"burn_per_sec":12,"burn_ratio":0.28,"mark":"fire","mult":1.15}</x:v>
      </x:c>
    </x:row>
  </x:sheetData>
  <x:mergeCells>
    <x:mergeCell ref="A1:AG2"/>
  </x:mergeCells>
  <x:conditionalFormatting sqref="AA5:AA6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5" hidden="0" customWidth="1"/>
    <x:col min="4" max="4" width="13" hidden="0" customWidth="1"/>
    <x:col min="5" max="5" width="42" hidden="0" customWidth="1"/>
    <x:col min="6" max="6" width="54" hidden="0" customWidth="1"/>
    <x:col min="7" max="7" width="34" hidden="0" customWidth="1"/>
    <x:col min="8" max="8" width="10" hidden="0" customWidth="1"/>
    <x:col min="9" max="9" width="10" hidden="0" customWidth="1"/>
    <x:col min="10" max="10" width="13" hidden="0" customWidth="1"/>
    <x:col min="11" max="11" width="12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48" customHeight="1">
      <x:c r="A1" s="4" t="str">
        <x:v>技能与参数明细
数值为游戏启动后的最终值；base_value、base_heal、burn_per_sec 已包含数据预处理。</x:v>
      </x:c>
    </x:row>
    <x:row r="2" ht="48" customHeight="1"/>
    <x:row r="4" ht="30" customHeight="1">
      <x:c r="A4" s="10" t="str">
        <x:v>ID</x:v>
      </x:c>
      <x:c r="B4" s="10" t="str">
        <x:v>武将</x:v>
      </x:c>
      <x:c r="C4" s="10" t="str">
        <x:v>技能</x:v>
      </x:c>
      <x:c r="D4" s="10" t="str">
        <x:v>类型</x:v>
      </x:c>
      <x:c r="E4" s="10" t="str">
        <x:v>完整参数 JSON</x:v>
      </x:c>
      <x:c r="F4" s="10" t="str">
        <x:v>技能说明</x:v>
      </x:c>
      <x:c r="G4" s="10" t="str">
        <x:v>一星面板</x:v>
      </x:c>
      <x:c r="H4" s="10" t="str">
        <x:v>伤害系数</x:v>
      </x:c>
      <x:c r="I4" s="10" t="str">
        <x:v>预计目标</x:v>
      </x:c>
      <x:c r="J4" s="10" t="str">
        <x:v>灼烧总伤害</x:v>
      </x:c>
      <x:c r="K4" s="10" t="str">
        <x:v>治疗等效</x:v>
      </x:c>
      <x:c r="L4" s="10" t="str">
        <x:v>护盾等效</x:v>
      </x:c>
      <x:c r="M4" s="10" t="str">
        <x:v>控制秒</x:v>
      </x:c>
      <x:c r="N4" s="10" t="str">
        <x:v>功能点</x:v>
      </x:c>
      <x:c r="O4" s="10" t="str">
        <x:v>节奏点</x:v>
      </x:c>
    </x:row>
    <x:row r="5" ht="52" customHeight="1">
      <x:c r="A5" s="14" t="str">
        <x:v>chengong</x:v>
      </x:c>
      <x:c r="B5" s="14" t="str">
        <x:v>陈宫</x:v>
      </x:c>
      <x:c r="C5" s="14" t="str">
        <x:v>智迟谋速</x:v>
      </x:c>
      <x:c r="D5" s="14" t="str">
        <x:v>buff_two</x:v>
      </x:c>
      <x:c r="E5" s="14" t="str">
        <x:v>{"action":0.15,"damage":0.15}</x:v>
      </x:c>
      <x:c r="F5" s="14" t="str">
        <x:v>强化两名当前生命比例最低的友军，使其伤害与行动条速度提高15%。</x:v>
      </x:c>
      <x:c r="G5" s="14" t="str">
        <x:v>★1 实战数值：增伤15.0%；行动加速15.0%</x:v>
      </x:c>
      <x:c r="H5" s="41" t="n">
        <x:v>0</x:v>
      </x:c>
      <x:c r="I5" s="41" t="n">
        <x:v>1</x:v>
      </x:c>
      <x:c r="J5" s="41" t="n">
        <x:v>0</x:v>
      </x:c>
      <x:c r="K5" s="41" t="n">
        <x:v>0</x:v>
      </x:c>
      <x:c r="L5" s="41" t="n">
        <x:v>0</x:v>
      </x:c>
      <x:c r="M5" s="41" t="n">
        <x:v>0</x:v>
      </x:c>
      <x:c r="N5" s="41" t="n">
        <x:v>60</x:v>
      </x:c>
      <x:c r="O5" s="41" t="n">
        <x:v>0.2</x:v>
      </x:c>
    </x:row>
    <x:row r="6" ht="52" customHeight="1">
      <x:c r="A6" s="14" t="str">
        <x:v>diaochan</x:v>
      </x:c>
      <x:c r="B6" s="14" t="str">
        <x:v>貂蝉</x:v>
      </x:c>
      <x:c r="C6" s="14" t="str">
        <x:v>美人离间</x:v>
      </x:c>
      <x:c r="D6" s="14" t="str">
        <x:v>专属实现</x:v>
      </x:c>
      <x:c r="E6" s="14" t="str">
        <x:v>{"base_value":32}</x:v>
      </x:c>
      <x:c r="F6" s="14" t="str">
        <x:v>美人离间：魅惑攻击最高的敌人1.5秒，使其行动条停止。</x:v>
      </x:c>
      <x:c r="G6" s="14" t="str">
        <x:v>★1 实战数值：魅惑1.50秒</x:v>
      </x:c>
      <x:c r="H6" s="41" t="n">
        <x:v>0</x:v>
      </x:c>
      <x:c r="I6" s="41" t="n">
        <x:v>1</x:v>
      </x:c>
      <x:c r="J6" s="41" t="n">
        <x:v>0</x:v>
      </x:c>
      <x:c r="K6" s="41" t="n">
        <x:v>0</x:v>
      </x:c>
      <x:c r="L6" s="41" t="n">
        <x:v>0</x:v>
      </x:c>
      <x:c r="M6" s="41" t="n">
        <x:v>1.5</x:v>
      </x:c>
      <x:c r="N6" s="41" t="n">
        <x:v>10</x:v>
      </x:c>
      <x:c r="O6" s="41" t="n">
        <x:v>0</x:v>
      </x:c>
    </x:row>
    <x:row r="7" ht="52" customHeight="1">
      <x:c r="A7" s="14" t="str">
        <x:v>dongzhuo</x:v>
      </x:c>
      <x:c r="B7" s="14" t="str">
        <x:v>董卓</x:v>
      </x:c>
      <x:c r="C7" s="14" t="str">
        <x:v>暴君横征</x:v>
      </x:c>
      <x:c r="D7" s="14" t="str">
        <x:v>专属实现</x:v>
      </x:c>
      <x:c r="E7" s="14" t="str">
        <x:v>{"base_value":52}</x:v>
      </x:c>
      <x:c r="F7" s="14" t="str">
        <x:v>暴君横征：造成100%攻击+min(800%攻击，当前生命6%)伤害。</x:v>
      </x:c>
      <x:c r="G7" s="14" t="str">
        <x:v>★1 实战数值：基础52伤害，追加当前生命比例伤害</x:v>
      </x:c>
      <x:c r="H7" s="41" t="n">
        <x:v>2.8</x:v>
      </x:c>
      <x:c r="I7" s="41" t="n">
        <x:v>1</x:v>
      </x:c>
      <x:c r="J7" s="41" t="n">
        <x:v>0</x:v>
      </x:c>
      <x:c r="K7" s="41" t="n">
        <x:v>0</x:v>
      </x:c>
      <x:c r="L7" s="41" t="n">
        <x:v>0</x:v>
      </x:c>
      <x:c r="M7" s="41" t="n">
        <x:v>0</x:v>
      </x:c>
      <x:c r="N7" s="41" t="n">
        <x:v>0</x:v>
      </x:c>
      <x:c r="O7" s="41" t="n">
        <x:v>0</x:v>
      </x:c>
    </x:row>
    <x:row r="8" ht="52" customHeight="1">
      <x:c r="A8" s="14" t="str">
        <x:v>gaolan</x:v>
      </x:c>
      <x:c r="B8" s="14" t="str">
        <x:v>高览</x:v>
      </x:c>
      <x:c r="C8" s="14" t="str">
        <x:v>法刃加持</x:v>
      </x:c>
      <x:c r="D8" s="14" t="str">
        <x:v>buff_row_melee</x:v>
      </x:c>
      <x:c r="E8" s="14" t="str">
        <x:v>{"damage":0.2}</x:v>
      </x:c>
      <x:c r="F8" s="14" t="str">
        <x:v>使自身同排的近战友军伤害提高20%。</x:v>
      </x:c>
      <x:c r="G8" s="14" t="str">
        <x:v>★1 实战数值：增伤20.0%；行动加速0.0%</x:v>
      </x:c>
      <x:c r="H8" s="41" t="n">
        <x:v>0</x:v>
      </x:c>
      <x:c r="I8" s="41" t="n">
        <x:v>1</x:v>
      </x:c>
      <x:c r="J8" s="41" t="n">
        <x:v>0</x:v>
      </x:c>
      <x:c r="K8" s="41" t="n">
        <x:v>0</x:v>
      </x:c>
      <x:c r="L8" s="41" t="n">
        <x:v>0</x:v>
      </x:c>
      <x:c r="M8" s="41" t="n">
        <x:v>0</x:v>
      </x:c>
      <x:c r="N8" s="41" t="n">
        <x:v>65</x:v>
      </x:c>
      <x:c r="O8" s="41" t="n">
        <x:v>0</x:v>
      </x:c>
    </x:row>
    <x:row r="9" ht="52" customHeight="1">
      <x:c r="A9" s="14" t="str">
        <x:v>gaoshun</x:v>
      </x:c>
      <x:c r="B9" s="14" t="str">
        <x:v>高顺</x:v>
      </x:c>
      <x:c r="C9" s="14" t="str">
        <x:v>陷阵营</x:v>
      </x:c>
      <x:c r="D9" s="14" t="str">
        <x:v>shield_row</x:v>
      </x:c>
      <x:c r="E9" s="14" t="str">
        <x:v>{"base_shield":69,"flat":25,"mult":1}</x:v>
      </x:c>
      <x:c r="F9" s="14" t="str">
        <x:v>为自身同排友军提供100%攻击力+25点护盾。</x:v>
      </x:c>
      <x:c r="G9" s="14" t="str">
        <x:v>★1 实战数值：每个目标获得约69护盾</x:v>
      </x:c>
      <x:c r="H9" s="41" t="n">
        <x:v>0</x:v>
      </x:c>
      <x:c r="I9" s="41" t="n">
        <x:v>1</x:v>
      </x:c>
      <x:c r="J9" s="41" t="n">
        <x:v>0</x:v>
      </x:c>
      <x:c r="K9" s="41" t="n">
        <x:v>0</x:v>
      </x:c>
      <x:c r="L9" s="41" t="n">
        <x:v>207</x:v>
      </x:c>
      <x:c r="M9" s="41" t="n">
        <x:v>0</x:v>
      </x:c>
      <x:c r="N9" s="41" t="n">
        <x:v>0</x:v>
      </x:c>
      <x:c r="O9" s="41" t="n">
        <x:v>0</x:v>
      </x:c>
    </x:row>
    <x:row r="10" ht="52" customHeight="1">
      <x:c r="A10" s="14" t="str">
        <x:v>huatuo</x:v>
      </x:c>
      <x:c r="B10" s="14" t="str">
        <x:v>华佗</x:v>
      </x:c>
      <x:c r="C10" s="14" t="str">
        <x:v>青囊济世</x:v>
      </x:c>
      <x:c r="D10" s="14" t="str">
        <x:v>heal_team</x:v>
      </x:c>
      <x:c r="E10" s="14" t="str">
        <x:v>{"base_heal":32,"ratio":0.1}</x:v>
      </x:c>
      <x:c r="F10" s="14" t="str">
        <x:v>治疗全体友军各自最大生命10%，并清除攻击降低效果。</x:v>
      </x:c>
      <x:c r="G10" s="14" t="str">
        <x:v>★1 实战数值：全体恢复10.0%最大生命</x:v>
      </x:c>
      <x:c r="H10" s="41" t="n">
        <x:v>0</x:v>
      </x:c>
      <x:c r="I10" s="41" t="n">
        <x:v>1</x:v>
      </x:c>
      <x:c r="J10" s="41" t="n">
        <x:v>0</x:v>
      </x:c>
      <x:c r="K10" s="41" t="n">
        <x:v>700</x:v>
      </x:c>
      <x:c r="L10" s="41" t="n">
        <x:v>0</x:v>
      </x:c>
      <x:c r="M10" s="41" t="n">
        <x:v>0</x:v>
      </x:c>
      <x:c r="N10" s="41" t="n">
        <x:v>0</x:v>
      </x:c>
      <x:c r="O10" s="41" t="n">
        <x:v>0</x:v>
      </x:c>
    </x:row>
    <x:row r="11" ht="52" customHeight="1">
      <x:c r="A11" s="14" t="str">
        <x:v>lvbu</x:v>
      </x:c>
      <x:c r="B11" s="14" t="str">
        <x:v>吕布</x:v>
      </x:c>
      <x:c r="C11" s="14" t="str">
        <x:v>无双横扫</x:v>
      </x:c>
      <x:c r="D11" s="14" t="str">
        <x:v>专属实现</x:v>
      </x:c>
      <x:c r="E11" s="14" t="str">
        <x:v>{"base_value":70}</x:v>
      </x:c>
      <x:c r="F11" s="14" t="str">
        <x:v>无双横扫：随机选择可攻击排，对整排造成160%攻击伤害；空排则穿透主公。</x:v>
      </x:c>
      <x:c r="G11" s="14" t="str">
        <x:v>★1 实战数值：目标排每人约112物理伤害</x:v>
      </x:c>
      <x:c r="H11" s="41" t="n">
        <x:v>1.6</x:v>
      </x:c>
      <x:c r="I11" s="41" t="n">
        <x:v>2.2</x:v>
      </x:c>
      <x:c r="J11" s="41" t="n">
        <x:v>0</x:v>
      </x:c>
      <x:c r="K11" s="41" t="n">
        <x:v>0</x:v>
      </x:c>
      <x:c r="L11" s="41" t="n">
        <x:v>0</x:v>
      </x:c>
      <x:c r="M11" s="41" t="n">
        <x:v>0</x:v>
      </x:c>
      <x:c r="N11" s="41" t="n">
        <x:v>0</x:v>
      </x:c>
      <x:c r="O11" s="41" t="n">
        <x:v>0</x:v>
      </x:c>
    </x:row>
    <x:row r="12" ht="52" customHeight="1">
      <x:c r="A12" s="14" t="str">
        <x:v>qunzhanghe</x:v>
      </x:c>
      <x:c r="B12" s="14" t="str">
        <x:v>群张郃</x:v>
      </x:c>
      <x:c r="C12" s="14" t="str">
        <x:v>紫盾</x:v>
      </x:c>
      <x:c r="D12" s="14" t="str">
        <x:v>shield_column</x:v>
      </x:c>
      <x:c r="E12" s="14" t="str">
        <x:v>{"base_shield":51,"flat":20,"mult":0.75,"spell_ward":1}</x:v>
      </x:c>
      <x:c r="F12" s="14" t="str">
        <x:v>紫幕护法：为同列友军施加小型护盾，并各抵挡下一次主动技能伤害。</x:v>
      </x:c>
      <x:c r="G12" s="14" t="str">
        <x:v>★1 实战数值：每个目标获得约51护盾</x:v>
      </x:c>
      <x:c r="H12" s="41" t="n">
        <x:v>0</x:v>
      </x:c>
      <x:c r="I12" s="41" t="n">
        <x:v>1</x:v>
      </x:c>
      <x:c r="J12" s="41" t="n">
        <x:v>0</x:v>
      </x:c>
      <x:c r="K12" s="41" t="n">
        <x:v>0</x:v>
      </x:c>
      <x:c r="L12" s="41" t="n">
        <x:v>153</x:v>
      </x:c>
      <x:c r="M12" s="41" t="n">
        <x:v>0</x:v>
      </x:c>
      <x:c r="N12" s="41" t="n">
        <x:v>10</x:v>
      </x:c>
      <x:c r="O12" s="41" t="n">
        <x:v>0</x:v>
      </x:c>
    </x:row>
    <x:row r="13" ht="52" customHeight="1">
      <x:c r="A13" s="14" t="str">
        <x:v>wenchou</x:v>
      </x:c>
      <x:c r="B13" s="14" t="str">
        <x:v>文丑</x:v>
      </x:c>
      <x:c r="C13" s="14" t="str">
        <x:v>返锋</x:v>
      </x:c>
      <x:c r="D13" s="14" t="str">
        <x:v>shield_single</x:v>
      </x:c>
      <x:c r="E13" s="14" t="str">
        <x:v>{"base_shield":77,"flat":28,"mult":1,"spell_reflect":0.35}</x:v>
      </x:c>
      <x:c r="F13" s="14" t="str">
        <x:v>反弹恶斗：为最低生命友军施加小型护盾；自身有35%概率反弹指向性技能。</x:v>
      </x:c>
      <x:c r="G13" s="14" t="str">
        <x:v>★1 实战数值：每个目标获得约77护盾</x:v>
      </x:c>
      <x:c r="H13" s="41" t="n">
        <x:v>0</x:v>
      </x:c>
      <x:c r="I13" s="41" t="n">
        <x:v>1</x:v>
      </x:c>
      <x:c r="J13" s="41" t="n">
        <x:v>0</x:v>
      </x:c>
      <x:c r="K13" s="41" t="n">
        <x:v>0</x:v>
      </x:c>
      <x:c r="L13" s="41" t="n">
        <x:v>77</x:v>
      </x:c>
      <x:c r="M13" s="41" t="n">
        <x:v>0</x:v>
      </x:c>
      <x:c r="N13" s="41" t="n">
        <x:v>0</x:v>
      </x:c>
      <x:c r="O13" s="41" t="n">
        <x:v>0</x:v>
      </x:c>
    </x:row>
    <x:row r="14" ht="52" customHeight="1">
      <x:c r="A14" s="14" t="str">
        <x:v>yanliang</x:v>
      </x:c>
      <x:c r="B14" s="14" t="str">
        <x:v>颜良</x:v>
      </x:c>
      <x:c r="C14" s="14" t="str">
        <x:v>河北反击</x:v>
      </x:c>
      <x:c r="D14" s="14" t="str">
        <x:v>multi_magic</x:v>
      </x:c>
      <x:c r="E14" s="14" t="str">
        <x:v>{"base_value":42,"count":2,"mult":0.9}</x:v>
      </x:c>
      <x:c r="F14" s="14" t="str">
        <x:v>反击2个随机格，每次造成90%攻击魔法伤害。</x:v>
      </x:c>
      <x:c r="G14" s="14" t="str">
        <x:v>★1 实战数值：2次攻击，每次约42伤害</x:v>
      </x:c>
      <x:c r="H14" s="41" t="n">
        <x:v>0.89</x:v>
      </x:c>
      <x:c r="I14" s="41" t="n">
        <x:v>2</x:v>
      </x:c>
      <x:c r="J14" s="41" t="n">
        <x:v>0</x:v>
      </x:c>
      <x:c r="K14" s="41" t="n">
        <x:v>0</x:v>
      </x:c>
      <x:c r="L14" s="41" t="n">
        <x:v>0</x:v>
      </x:c>
      <x:c r="M14" s="41" t="n">
        <x:v>0</x:v>
      </x:c>
      <x:c r="N14" s="41" t="n">
        <x:v>0</x:v>
      </x:c>
      <x:c r="O14" s="41" t="n">
        <x:v>0</x:v>
      </x:c>
    </x:row>
    <x:row r="15" ht="52" customHeight="1">
      <x:c r="A15" s="14" t="str">
        <x:v>yuji</x:v>
      </x:c>
      <x:c r="B15" s="14" t="str">
        <x:v>于吉</x:v>
      </x:c>
      <x:c r="C15" s="14" t="str">
        <x:v>亡魂爆破</x:v>
      </x:c>
      <x:c r="D15" s="14" t="str">
        <x:v>row_magic</x:v>
      </x:c>
      <x:c r="E15" s="14" t="str">
        <x:v>{"base_value":42,"fallen_scale":0.18,"mult":0.95,"target_mode":"back_low"}</x:v>
      </x:c>
      <x:c r="F15" s="14" t="str">
        <x:v>妖术祭雷：轰击后排；每名阵亡友军使本次雷击强化18%。</x:v>
      </x:c>
      <x:c r="G15" s="14" t="str">
        <x:v>★1 实战数值：每个命中目标约42伤害</x:v>
      </x:c>
      <x:c r="H15" s="41" t="n">
        <x:v>0.95</x:v>
      </x:c>
      <x:c r="I15" s="41" t="n">
        <x:v>2.2</x:v>
      </x:c>
      <x:c r="J15" s="41" t="n">
        <x:v>0</x:v>
      </x:c>
      <x:c r="K15" s="41" t="n">
        <x:v>0</x:v>
      </x:c>
      <x:c r="L15" s="41" t="n">
        <x:v>0</x:v>
      </x:c>
      <x:c r="M15" s="41" t="n">
        <x:v>0</x:v>
      </x:c>
      <x:c r="N15" s="41" t="n">
        <x:v>0</x:v>
      </x:c>
      <x:c r="O15" s="41" t="n">
        <x:v>0</x:v>
      </x:c>
    </x:row>
    <x:row r="16" ht="52" customHeight="1">
      <x:c r="A16" s="14" t="str">
        <x:v>yuanshao</x:v>
      </x:c>
      <x:c r="B16" s="14" t="str">
        <x:v>袁绍</x:v>
      </x:c>
      <x:c r="C16" s="14" t="str">
        <x:v>诸侯盟主</x:v>
      </x:c>
      <x:c r="D16" s="14" t="str">
        <x:v>buff_self</x:v>
      </x:c>
      <x:c r="E16" s="14" t="str">
        <x:v>{"damage":0.1,"faction_scale":true}</x:v>
      </x:c>
      <x:c r="F16" s="14" t="str">
        <x:v>每存在一个至少2人的阵营，自身伤害提高10%，最多40%。</x:v>
      </x:c>
      <x:c r="G16" s="14" t="str">
        <x:v>★1 实战数值：增伤10.0%；行动加速0.0%</x:v>
      </x:c>
      <x:c r="H16" s="41" t="n">
        <x:v>0</x:v>
      </x:c>
      <x:c r="I16" s="41" t="n">
        <x:v>1</x:v>
      </x:c>
      <x:c r="J16" s="41" t="n">
        <x:v>0</x:v>
      </x:c>
      <x:c r="K16" s="41" t="n">
        <x:v>0</x:v>
      </x:c>
      <x:c r="L16" s="41" t="n">
        <x:v>0</x:v>
      </x:c>
      <x:c r="M16" s="41" t="n">
        <x:v>0</x:v>
      </x:c>
      <x:c r="N16" s="41" t="n">
        <x:v>55</x:v>
      </x:c>
      <x:c r="O16" s="41" t="n">
        <x:v>0</x:v>
      </x:c>
    </x:row>
    <x:row r="17" ht="52" customHeight="1">
      <x:c r="A17" s="14" t="str">
        <x:v>yuanshu</x:v>
      </x:c>
      <x:c r="B17" s="14" t="str">
        <x:v>袁术</x:v>
      </x:c>
      <x:c r="C17" s="14" t="str">
        <x:v>伪帝连珠</x:v>
      </x:c>
      <x:c r="D17" s="14" t="str">
        <x:v>multi_magic</x:v>
      </x:c>
      <x:c r="E17" s="14" t="str">
        <x:v>{"base_value":29,"count":4,"mult":0.65}</x:v>
      </x:c>
      <x:c r="F17" s="14" t="str">
        <x:v>发射4枚法术弹，每枚造成65%攻击魔法伤害并随机选格。</x:v>
      </x:c>
      <x:c r="G17" s="14" t="str">
        <x:v>★1 实战数值：4次攻击，每次约29伤害</x:v>
      </x:c>
      <x:c r="H17" s="41" t="n">
        <x:v>0.66</x:v>
      </x:c>
      <x:c r="I17" s="41" t="n">
        <x:v>4</x:v>
      </x:c>
      <x:c r="J17" s="41" t="n">
        <x:v>0</x:v>
      </x:c>
      <x:c r="K17" s="41" t="n">
        <x:v>0</x:v>
      </x:c>
      <x:c r="L17" s="41" t="n">
        <x:v>0</x:v>
      </x:c>
      <x:c r="M17" s="41" t="n">
        <x:v>0</x:v>
      </x:c>
      <x:c r="N17" s="41" t="n">
        <x:v>0</x:v>
      </x:c>
      <x:c r="O17" s="41" t="n">
        <x:v>0</x:v>
      </x:c>
    </x:row>
    <x:row r="18" ht="52" customHeight="1">
      <x:c r="A18" s="14" t="str">
        <x:v>zhangjiao</x:v>
      </x:c>
      <x:c r="B18" s="14" t="str">
        <x:v>张角</x:v>
      </x:c>
      <x:c r="C18" s="14" t="str">
        <x:v>苍天已死</x:v>
      </x:c>
      <x:c r="D18" s="14" t="str">
        <x:v>multi_magic</x:v>
      </x:c>
      <x:c r="E18" s="14" t="str">
        <x:v>{"base_value":23,"count":2,"mult":0.6,"summon_on_death":0.45}</x:v>
      </x:c>
      <x:c r="F18" s="14" t="str">
        <x:v>黄天起义：降下2道雷击；友军阵亡时有45%概率触发一次小型天雷。</x:v>
      </x:c>
      <x:c r="G18" s="14" t="str">
        <x:v>★1 实战数值：2次攻击，每次约23伤害</x:v>
      </x:c>
      <x:c r="H18" s="41" t="n">
        <x:v>0.61</x:v>
      </x:c>
      <x:c r="I18" s="41" t="n">
        <x:v>2</x:v>
      </x:c>
      <x:c r="J18" s="41" t="n">
        <x:v>0</x:v>
      </x:c>
      <x:c r="K18" s="41" t="n">
        <x:v>0</x:v>
      </x:c>
      <x:c r="L18" s="41" t="n">
        <x:v>0</x:v>
      </x:c>
      <x:c r="M18" s="41" t="n">
        <x:v>0</x:v>
      </x:c>
      <x:c r="N18" s="41" t="n">
        <x:v>0</x:v>
      </x:c>
      <x:c r="O18" s="41" t="n">
        <x:v>0</x:v>
      </x:c>
    </x:row>
    <x:row r="19" ht="52" customHeight="1">
      <x:c r="A19" s="14" t="str">
        <x:v>guanyu</x:v>
      </x:c>
      <x:c r="B19" s="14" t="str">
        <x:v>关羽</x:v>
      </x:c>
      <x:c r="C19" s="14" t="str">
        <x:v>青龙断阵</x:v>
      </x:c>
      <x:c r="D19" s="14" t="str">
        <x:v>专属实现</x:v>
      </x:c>
      <x:c r="E19" s="14" t="str">
        <x:v>{"base_value":58}</x:v>
      </x:c>
      <x:c r="F19" s="14" t="str">
        <x:v>青龙偃月：读条完成后劈砍目标整列，每名敌人受到200%攻击力伤害。</x:v>
      </x:c>
      <x:c r="G19" s="14" t="str">
        <x:v>★1 实战数值：整列每名敌人受到116真实伤害</x:v>
      </x:c>
      <x:c r="H19" s="41" t="n">
        <x:v>2</x:v>
      </x:c>
      <x:c r="I19" s="41" t="n">
        <x:v>2</x:v>
      </x:c>
      <x:c r="J19" s="41" t="n">
        <x:v>0</x:v>
      </x:c>
      <x:c r="K19" s="41" t="n">
        <x:v>0</x:v>
      </x:c>
      <x:c r="L19" s="41" t="n">
        <x:v>0</x:v>
      </x:c>
      <x:c r="M19" s="41" t="n">
        <x:v>0</x:v>
      </x:c>
      <x:c r="N19" s="41" t="n">
        <x:v>0</x:v>
      </x:c>
      <x:c r="O19" s="41" t="n">
        <x:v>0</x:v>
      </x:c>
    </x:row>
    <x:row r="20" ht="52" customHeight="1">
      <x:c r="A20" s="14" t="str">
        <x:v>huangzhong</x:v>
      </x:c>
      <x:c r="B20" s="14" t="str">
        <x:v>黄忠</x:v>
      </x:c>
      <x:c r="C20" s="14" t="str">
        <x:v>百步穿杨</x:v>
      </x:c>
      <x:c r="D20" s="14" t="str">
        <x:v>strike</x:v>
      </x:c>
      <x:c r="E20" s="14" t="str">
        <x:v>{"base_value":67,"focus":true,"mult":1.45,"target_mode":"back_low"}</x:v>
      </x:c>
      <x:c r="F20" s="14" t="str">
        <x:v>百步穿杨：读条完成后射击随机可攻击格，造成200%攻击力伤害。</x:v>
      </x:c>
      <x:c r="G20" s="14" t="str">
        <x:v>★1 实战数值：大招造成92真实伤害</x:v>
      </x:c>
      <x:c r="H20" s="41" t="n">
        <x:v>1.46</x:v>
      </x:c>
      <x:c r="I20" s="41" t="n">
        <x:v>1</x:v>
      </x:c>
      <x:c r="J20" s="41" t="n">
        <x:v>0</x:v>
      </x:c>
      <x:c r="K20" s="41" t="n">
        <x:v>0</x:v>
      </x:c>
      <x:c r="L20" s="41" t="n">
        <x:v>0</x:v>
      </x:c>
      <x:c r="M20" s="41" t="n">
        <x:v>0</x:v>
      </x:c>
      <x:c r="N20" s="41" t="n">
        <x:v>0</x:v>
      </x:c>
      <x:c r="O20" s="41" t="n">
        <x:v>0</x:v>
      </x:c>
    </x:row>
    <x:row r="21" ht="52" customHeight="1">
      <x:c r="A21" s="14" t="str">
        <x:v>jiangwei</x:v>
      </x:c>
      <x:c r="B21" s="14" t="str">
        <x:v>姜维</x:v>
      </x:c>
      <x:c r="C21" s="14" t="str">
        <x:v>北伐</x:v>
      </x:c>
      <x:c r="D21" s="14" t="str">
        <x:v>strike_magic</x:v>
      </x:c>
      <x:c r="E21" s="14" t="str">
        <x:v>{"base_value":77,"mult":1.6}</x:v>
      </x:c>
      <x:c r="F21" s="14" t="str">
        <x:v>造成160%攻击魔法伤害，并获得15%减伤。</x:v>
      </x:c>
      <x:c r="G21" s="14" t="str">
        <x:v>★1 实战数值：每个命中目标约77伤害</x:v>
      </x:c>
      <x:c r="H21" s="41" t="n">
        <x:v>1.6</x:v>
      </x:c>
      <x:c r="I21" s="41" t="n">
        <x:v>1</x:v>
      </x:c>
      <x:c r="J21" s="41" t="n">
        <x:v>0</x:v>
      </x:c>
      <x:c r="K21" s="41" t="n">
        <x:v>0</x:v>
      </x:c>
      <x:c r="L21" s="41" t="n">
        <x:v>0</x:v>
      </x:c>
      <x:c r="M21" s="41" t="n">
        <x:v>0</x:v>
      </x:c>
      <x:c r="N21" s="41" t="n">
        <x:v>0</x:v>
      </x:c>
      <x:c r="O21" s="41" t="n">
        <x:v>0</x:v>
      </x:c>
    </x:row>
    <x:row r="22" ht="52" customHeight="1">
      <x:c r="A22" s="14" t="str">
        <x:v>liubei</x:v>
      </x:c>
      <x:c r="B22" s="14" t="str">
        <x:v>刘备</x:v>
      </x:c>
      <x:c r="C22" s="14" t="str">
        <x:v>仁德</x:v>
      </x:c>
      <x:c r="D22" s="14" t="str">
        <x:v>专属实现</x:v>
      </x:c>
      <x:c r="E22" s="14" t="str">
        <x:v>{"base_value":32}</x:v>
      </x:c>
      <x:c r="F22" s="14" t="str">
        <x:v>仁德回春：读条完成后，为当前生命比例最低的友军施加持续6秒、每秒200%攻击力的治疗；溢出治疗转为主公回血。</x:v>
      </x:c>
      <x:c r="G22" s="14" t="str">
        <x:v>★1 实战数值：每秒治疗64，持续6秒，总计384</x:v>
      </x:c>
      <x:c r="H22" s="41" t="n">
        <x:v>0</x:v>
      </x:c>
      <x:c r="I22" s="41" t="n">
        <x:v>1</x:v>
      </x:c>
      <x:c r="J22" s="41" t="n">
        <x:v>0</x:v>
      </x:c>
      <x:c r="K22" s="41" t="n">
        <x:v>384</x:v>
      </x:c>
      <x:c r="L22" s="41" t="n">
        <x:v>0</x:v>
      </x:c>
      <x:c r="M22" s="41" t="n">
        <x:v>0</x:v>
      </x:c>
      <x:c r="N22" s="41" t="n">
        <x:v>18</x:v>
      </x:c>
      <x:c r="O22" s="41" t="n">
        <x:v>0</x:v>
      </x:c>
    </x:row>
    <x:row r="23" ht="52" customHeight="1">
      <x:c r="A23" s="14" t="str">
        <x:v>liushan</x:v>
      </x:c>
      <x:c r="B23" s="14" t="str">
        <x:v>刘禅</x:v>
      </x:c>
      <x:c r="C23" s="14" t="str">
        <x:v>蜀主鼓舞</x:v>
      </x:c>
      <x:c r="D23" s="14" t="str">
        <x:v>buff_column</x:v>
      </x:c>
      <x:c r="E23" s="14" t="str">
        <x:v>{"damage":0.25}</x:v>
      </x:c>
      <x:c r="F23" s="14" t="str">
        <x:v>读条完成后，使同列前排友军伤害提高25%/35%/55%，持续7秒。与刘备羁绊时同时强化同列后排；与赵云羁绊时受强化友军获得30%全能吸血。</x:v>
      </x:c>
      <x:c r="G23" s="14" t="str">
        <x:v>★1 实战数值：增伤25.0%；行动加速0.0%</x:v>
      </x:c>
      <x:c r="H23" s="41" t="n">
        <x:v>0</x:v>
      </x:c>
      <x:c r="I23" s="41" t="n">
        <x:v>1</x:v>
      </x:c>
      <x:c r="J23" s="41" t="n">
        <x:v>0</x:v>
      </x:c>
      <x:c r="K23" s="41" t="n">
        <x:v>0</x:v>
      </x:c>
      <x:c r="L23" s="41" t="n">
        <x:v>0</x:v>
      </x:c>
      <x:c r="M23" s="41" t="n">
        <x:v>0</x:v>
      </x:c>
      <x:c r="N23" s="41" t="n">
        <x:v>70</x:v>
      </x:c>
      <x:c r="O23" s="41" t="n">
        <x:v>0</x:v>
      </x:c>
    </x:row>
    <x:row r="24" ht="52" customHeight="1">
      <x:c r="A24" s="14" t="str">
        <x:v>machao</x:v>
      </x:c>
      <x:c r="B24" s="14" t="str">
        <x:v>马超</x:v>
      </x:c>
      <x:c r="C24" s="14" t="str">
        <x:v>西凉铁骑</x:v>
      </x:c>
      <x:c r="D24" s="14" t="str">
        <x:v>strike</x:v>
      </x:c>
      <x:c r="E24" s="14" t="str">
        <x:v>{"action_refund":12,"base_value":94,"mult":1.7,"target_mode":"farthest"}</x:v>
      </x:c>
      <x:c r="F24" s="14" t="str">
        <x:v>西凉突骑：冲击攻击距离内最远一排，命中后返还12%行动条；空列则穿透主公。</x:v>
      </x:c>
      <x:c r="G24" s="14" t="str">
        <x:v>★1 实战数值：每个命中目标约94伤害</x:v>
      </x:c>
      <x:c r="H24" s="41" t="n">
        <x:v>1.71</x:v>
      </x:c>
      <x:c r="I24" s="41" t="n">
        <x:v>1</x:v>
      </x:c>
      <x:c r="J24" s="41" t="n">
        <x:v>0</x:v>
      </x:c>
      <x:c r="K24" s="41" t="n">
        <x:v>0</x:v>
      </x:c>
      <x:c r="L24" s="41" t="n">
        <x:v>0</x:v>
      </x:c>
      <x:c r="M24" s="41" t="n">
        <x:v>0</x:v>
      </x:c>
      <x:c r="N24" s="41" t="n">
        <x:v>0</x:v>
      </x:c>
      <x:c r="O24" s="41" t="n">
        <x:v>0</x:v>
      </x:c>
    </x:row>
    <x:row r="25" ht="52" customHeight="1">
      <x:c r="A25" s="14" t="str">
        <x:v>madai</x:v>
      </x:c>
      <x:c r="B25" s="14" t="str">
        <x:v>马岱</x:v>
      </x:c>
      <x:c r="C25" s="14" t="str">
        <x:v>潜袭冷箭</x:v>
      </x:c>
      <x:c r="D25" s="14" t="str">
        <x:v>strike</x:v>
      </x:c>
      <x:c r="E25" s="14" t="str">
        <x:v>{"base_value":58,"mult":1.25,"target_mode":"front","vulnerable":0.14,"vulnerable_time":5}</x:v>
      </x:c>
      <x:c r="F25" s="14" t="str">
        <x:v>偏锋点射：标记前排目标5秒，使其受到伤害提高14%。</x:v>
      </x:c>
      <x:c r="G25" s="14" t="str">
        <x:v>★1 实战数值：每个命中目标约58伤害</x:v>
      </x:c>
      <x:c r="H25" s="41" t="n">
        <x:v>1.26</x:v>
      </x:c>
      <x:c r="I25" s="41" t="n">
        <x:v>1</x:v>
      </x:c>
      <x:c r="J25" s="41" t="n">
        <x:v>0</x:v>
      </x:c>
      <x:c r="K25" s="41" t="n">
        <x:v>0</x:v>
      </x:c>
      <x:c r="L25" s="41" t="n">
        <x:v>0</x:v>
      </x:c>
      <x:c r="M25" s="41" t="n">
        <x:v>0</x:v>
      </x:c>
      <x:c r="N25" s="41" t="n">
        <x:v>6.3</x:v>
      </x:c>
      <x:c r="O25" s="41" t="n">
        <x:v>0</x:v>
      </x:c>
    </x:row>
    <x:row r="26" ht="52" customHeight="1">
      <x:c r="A26" s="14" t="str">
        <x:v>menghuo</x:v>
      </x:c>
      <x:c r="B26" s="14" t="str">
        <x:v>孟获</x:v>
      </x:c>
      <x:c r="C26" s="14" t="str">
        <x:v>蛮王震地</x:v>
      </x:c>
      <x:c r="D26" s="14" t="str">
        <x:v>row</x:v>
      </x:c>
      <x:c r="E26" s="14" t="str">
        <x:v>{"base_value":45,"mult":1.05,"stun":0.8}</x:v>
      </x:c>
      <x:c r="F26" s="14" t="str">
        <x:v>震击随机敌排，造成105%攻击物理伤害并眩晕0.8秒。</x:v>
      </x:c>
      <x:c r="G26" s="14" t="str">
        <x:v>★1 实战数值：每个命中目标约45伤害；控制0.80秒</x:v>
      </x:c>
      <x:c r="H26" s="41" t="n">
        <x:v>1.05</x:v>
      </x:c>
      <x:c r="I26" s="41" t="n">
        <x:v>2.2</x:v>
      </x:c>
      <x:c r="J26" s="41" t="n">
        <x:v>0</x:v>
      </x:c>
      <x:c r="K26" s="41" t="n">
        <x:v>0</x:v>
      </x:c>
      <x:c r="L26" s="41" t="n">
        <x:v>0</x:v>
      </x:c>
      <x:c r="M26" s="41" t="n">
        <x:v>0.8</x:v>
      </x:c>
      <x:c r="N26" s="41" t="n">
        <x:v>0</x:v>
      </x:c>
      <x:c r="O26" s="41" t="n">
        <x:v>0</x:v>
      </x:c>
    </x:row>
    <x:row r="27" ht="52" customHeight="1">
      <x:c r="A27" s="14" t="str">
        <x:v>pangtong</x:v>
      </x:c>
      <x:c r="B27" s="14" t="str">
        <x:v>庞统</x:v>
      </x:c>
      <x:c r="C27" s="14" t="str">
        <x:v>连环计</x:v>
      </x:c>
      <x:c r="D27" s="14" t="str">
        <x:v>control</x:v>
      </x:c>
      <x:c r="E27" s="14" t="str">
        <x:v>{"base_value":30,"mult":0.8,"stun":2}</x:v>
      </x:c>
      <x:c r="F27" s="14" t="str">
        <x:v>造成80%攻击魔法伤害并锁住目标行动条2秒。</x:v>
      </x:c>
      <x:c r="G27" s="14" t="str">
        <x:v>★1 实战数值：每个命中目标约30伤害；控制2.00秒</x:v>
      </x:c>
      <x:c r="H27" s="41" t="n">
        <x:v>0.79</x:v>
      </x:c>
      <x:c r="I27" s="41" t="n">
        <x:v>1</x:v>
      </x:c>
      <x:c r="J27" s="41" t="n">
        <x:v>0</x:v>
      </x:c>
      <x:c r="K27" s="41" t="n">
        <x:v>0</x:v>
      </x:c>
      <x:c r="L27" s="41" t="n">
        <x:v>0</x:v>
      </x:c>
      <x:c r="M27" s="41" t="n">
        <x:v>2</x:v>
      </x:c>
      <x:c r="N27" s="41" t="n">
        <x:v>0</x:v>
      </x:c>
      <x:c r="O27" s="41" t="n">
        <x:v>0</x:v>
      </x:c>
    </x:row>
    <x:row r="28" ht="52" customHeight="1">
      <x:c r="A28" s="14" t="str">
        <x:v>weiyan</x:v>
      </x:c>
      <x:c r="B28" s="14" t="str">
        <x:v>魏延</x:v>
      </x:c>
      <x:c r="C28" s="14" t="str">
        <x:v>狂骨</x:v>
      </x:c>
      <x:c r="D28" s="14" t="str">
        <x:v>drain</x:v>
      </x:c>
      <x:c r="E28" s="14" t="str">
        <x:v>{"base_value":75,"heal":0.35,"mult":1.5}</x:v>
      </x:c>
      <x:c r="F28" s="14" t="str">
        <x:v>造成150%攻击物理伤害，并回复实际伤害的35%。</x:v>
      </x:c>
      <x:c r="G28" s="14" t="str">
        <x:v>★1 实战数值：每个命中目标约75伤害</x:v>
      </x:c>
      <x:c r="H28" s="41" t="n">
        <x:v>1.5</x:v>
      </x:c>
      <x:c r="I28" s="41" t="n">
        <x:v>1</x:v>
      </x:c>
      <x:c r="J28" s="41" t="n">
        <x:v>0</x:v>
      </x:c>
      <x:c r="K28" s="41" t="n">
        <x:v>0</x:v>
      </x:c>
      <x:c r="L28" s="41" t="n">
        <x:v>0</x:v>
      </x:c>
      <x:c r="M28" s="41" t="n">
        <x:v>0</x:v>
      </x:c>
      <x:c r="N28" s="41" t="n">
        <x:v>0</x:v>
      </x:c>
      <x:c r="O28" s="41" t="n">
        <x:v>0</x:v>
      </x:c>
    </x:row>
    <x:row r="29" ht="52" customHeight="1">
      <x:c r="A29" s="14" t="str">
        <x:v>zhangfei</x:v>
      </x:c>
      <x:c r="B29" s="14" t="str">
        <x:v>张飞</x:v>
      </x:c>
      <x:c r="C29" s="14" t="str">
        <x:v>燕人怒吼</x:v>
      </x:c>
      <x:c r="D29" s="14" t="str">
        <x:v>专属实现</x:v>
      </x:c>
      <x:c r="E29" s="14" t="str">
        <x:v>{"base_value":44}</x:v>
      </x:c>
      <x:c r="F29" s="14" t="str">
        <x:v>燕人号令：读条完成后强化己方前排。1/2/3星分别增伤15%/20%/30%，持续3秒。</x:v>
      </x:c>
      <x:c r="G29" s="14" t="str">
        <x:v>★1 实战数值：前排增伤15%，持续3秒</x:v>
      </x:c>
      <x:c r="H29" s="41" t="n">
        <x:v>0</x:v>
      </x:c>
      <x:c r="I29" s="41" t="n">
        <x:v>4</x:v>
      </x:c>
      <x:c r="J29" s="41" t="n">
        <x:v>0</x:v>
      </x:c>
      <x:c r="K29" s="41" t="n">
        <x:v>0</x:v>
      </x:c>
      <x:c r="L29" s="41" t="n">
        <x:v>0</x:v>
      </x:c>
      <x:c r="M29" s="41" t="n">
        <x:v>0</x:v>
      </x:c>
      <x:c r="N29" s="41" t="n">
        <x:v>65</x:v>
      </x:c>
      <x:c r="O29" s="41" t="n">
        <x:v>0</x:v>
      </x:c>
    </x:row>
    <x:row r="30" ht="52" customHeight="1">
      <x:c r="A30" s="14" t="str">
        <x:v>zhaoyun</x:v>
      </x:c>
      <x:c r="B30" s="14" t="str">
        <x:v>赵云</x:v>
      </x:c>
      <x:c r="C30" s="14" t="str">
        <x:v>七进七出</x:v>
      </x:c>
      <x:c r="D30" s="14" t="str">
        <x:v>strike</x:v>
      </x:c>
      <x:c r="E30" s="14" t="str">
        <x:v>{"base_value":89,"bonus_controlled":0.55,"mult":1.65,"target_mode":"back_low"}</x:v>
      </x:c>
      <x:c r="F30" s="14" t="str">
        <x:v>龙胆：优先突击敌方后排低血目标，造成300%攻击力伤害，并获得30%减伤3秒。</x:v>
      </x:c>
      <x:c r="G30" s="14" t="str">
        <x:v>★1 实战数值：突击造成162伤害，并获得30%减伤3秒</x:v>
      </x:c>
      <x:c r="H30" s="41" t="n">
        <x:v>1.65</x:v>
      </x:c>
      <x:c r="I30" s="41" t="n">
        <x:v>1</x:v>
      </x:c>
      <x:c r="J30" s="41" t="n">
        <x:v>0</x:v>
      </x:c>
      <x:c r="K30" s="41" t="n">
        <x:v>0</x:v>
      </x:c>
      <x:c r="L30" s="41" t="n">
        <x:v>0</x:v>
      </x:c>
      <x:c r="M30" s="41" t="n">
        <x:v>0</x:v>
      </x:c>
      <x:c r="N30" s="41" t="n">
        <x:v>0</x:v>
      </x:c>
      <x:c r="O30" s="41" t="n">
        <x:v>0</x:v>
      </x:c>
    </x:row>
    <x:row r="31" ht="52" customHeight="1">
      <x:c r="A31" s="14" t="str">
        <x:v>zhugeliang</x:v>
      </x:c>
      <x:c r="B31" s="14" t="str">
        <x:v>诸葛亮</x:v>
      </x:c>
      <x:c r="C31" s="14" t="str">
        <x:v>八卦阵</x:v>
      </x:c>
      <x:c r="D31" s="14" t="str">
        <x:v>row_magic</x:v>
      </x:c>
      <x:c r="E31" s="14" t="str">
        <x:v>{"base_value":53,"mark":"strategy","mark_time":4,"mult":1.2}</x:v>
      </x:c>
      <x:c r="F31" s="14" t="str">
        <x:v>八阵奇谋：轰击随机敌排并施加谋略标记；标记者再次受到法术伤害时爆炸并波及同排。</x:v>
      </x:c>
      <x:c r="G31" s="14" t="str">
        <x:v>★1 实战数值：每个命中目标约53伤害</x:v>
      </x:c>
      <x:c r="H31" s="41" t="n">
        <x:v>1.2</x:v>
      </x:c>
      <x:c r="I31" s="41" t="n">
        <x:v>2.2</x:v>
      </x:c>
      <x:c r="J31" s="41" t="n">
        <x:v>0</x:v>
      </x:c>
      <x:c r="K31" s="41" t="n">
        <x:v>0</x:v>
      </x:c>
      <x:c r="L31" s="41" t="n">
        <x:v>0</x:v>
      </x:c>
      <x:c r="M31" s="41" t="n">
        <x:v>0</x:v>
      </x:c>
      <x:c r="N31" s="41" t="n">
        <x:v>0</x:v>
      </x:c>
      <x:c r="O31" s="41" t="n">
        <x:v>0</x:v>
      </x:c>
    </x:row>
    <x:row r="32" ht="52" customHeight="1">
      <x:c r="A32" s="14" t="str">
        <x:v>zhurong</x:v>
      </x:c>
      <x:c r="B32" s="14" t="str">
        <x:v>祝融</x:v>
      </x:c>
      <x:c r="C32" s="14" t="str">
        <x:v>火神飞刃</x:v>
      </x:c>
      <x:c r="D32" s="14" t="str">
        <x:v>strike_magic</x:v>
      </x:c>
      <x:c r="E32" s="14" t="str">
        <x:v>{"base_value":67,"burn":4,"burn_per_sec":14,"mult":1.45}</x:v>
      </x:c>
      <x:c r="F32" s="14" t="str">
        <x:v>造成145%攻击魔法伤害并灼烧4秒，每秒造成30%攻击伤害。</x:v>
      </x:c>
      <x:c r="G32" s="14" t="str">
        <x:v>★1 实战数值：每个命中目标约67伤害；灼烧4.0秒</x:v>
      </x:c>
      <x:c r="H32" s="41" t="n">
        <x:v>1.46</x:v>
      </x:c>
      <x:c r="I32" s="41" t="n">
        <x:v>1</x:v>
      </x:c>
      <x:c r="J32" s="41" t="n">
        <x:v>56</x:v>
      </x:c>
      <x:c r="K32" s="41" t="n">
        <x:v>0</x:v>
      </x:c>
      <x:c r="L32" s="41" t="n">
        <x:v>0</x:v>
      </x:c>
      <x:c r="M32" s="41" t="n">
        <x:v>0</x:v>
      </x:c>
      <x:c r="N32" s="41" t="n">
        <x:v>0</x:v>
      </x:c>
      <x:c r="O32" s="41" t="n">
        <x:v>0</x:v>
      </x:c>
    </x:row>
    <x:row r="33" ht="52" customHeight="1">
      <x:c r="A33" s="14" t="str">
        <x:v>caocao</x:v>
      </x:c>
      <x:c r="B33" s="14" t="str">
        <x:v>曹操</x:v>
      </x:c>
      <x:c r="C33" s="14" t="str">
        <x:v>奸雄反制</x:v>
      </x:c>
      <x:c r="D33" s="14" t="str">
        <x:v>专属实现</x:v>
      </x:c>
      <x:c r="E33" s="14" t="str">
        <x:v>{"base_value":46}</x:v>
      </x:c>
      <x:c r="F33" s="14" t="str">
        <x:v>奸雄反制：造成100%攻击伤害，35%概率眩晕1秒；自身获得45%反制概率和15%减伤4秒。</x:v>
      </x:c>
      <x:c r="G33" s="14" t="str">
        <x:v>★1 实战数值：造成46伤害；35%概率眩晕1.00秒</x:v>
      </x:c>
      <x:c r="H33" s="41" t="n">
        <x:v>1</x:v>
      </x:c>
      <x:c r="I33" s="41" t="n">
        <x:v>1</x:v>
      </x:c>
      <x:c r="J33" s="41" t="n">
        <x:v>0</x:v>
      </x:c>
      <x:c r="K33" s="41" t="n">
        <x:v>0</x:v>
      </x:c>
      <x:c r="L33" s="41" t="n">
        <x:v>0</x:v>
      </x:c>
      <x:c r="M33" s="41" t="n">
        <x:v>0.35</x:v>
      </x:c>
      <x:c r="N33" s="41" t="n">
        <x:v>32</x:v>
      </x:c>
      <x:c r="O33" s="41" t="n">
        <x:v>0</x:v>
      </x:c>
    </x:row>
    <x:row r="34" ht="52" customHeight="1">
      <x:c r="A34" s="14" t="str">
        <x:v>caoren</x:v>
      </x:c>
      <x:c r="B34" s="14" t="str">
        <x:v>曹仁</x:v>
      </x:c>
      <x:c r="C34" s="14" t="str">
        <x:v>据守樊城</x:v>
      </x:c>
      <x:c r="D34" s="14" t="str">
        <x:v>shield_single</x:v>
      </x:c>
      <x:c r="E34" s="14" t="str">
        <x:v>{"base_shield":112,"flat":50,"mult":1.6}</x:v>
      </x:c>
      <x:c r="F34" s="14" t="str">
        <x:v>为当前生命比例最低的友军提供160%攻击力+50点护盾；曹仁自身获得10%减伤。</x:v>
      </x:c>
      <x:c r="G34" s="14" t="str">
        <x:v>★1 实战数值：每个目标获得约112护盾</x:v>
      </x:c>
      <x:c r="H34" s="41" t="n">
        <x:v>0</x:v>
      </x:c>
      <x:c r="I34" s="41" t="n">
        <x:v>1</x:v>
      </x:c>
      <x:c r="J34" s="41" t="n">
        <x:v>0</x:v>
      </x:c>
      <x:c r="K34" s="41" t="n">
        <x:v>0</x:v>
      </x:c>
      <x:c r="L34" s="41" t="n">
        <x:v>112</x:v>
      </x:c>
      <x:c r="M34" s="41" t="n">
        <x:v>0</x:v>
      </x:c>
      <x:c r="N34" s="41" t="n">
        <x:v>0</x:v>
      </x:c>
      <x:c r="O34" s="41" t="n">
        <x:v>0</x:v>
      </x:c>
    </x:row>
    <x:row r="35" ht="52" customHeight="1">
      <x:c r="A35" s="14" t="str">
        <x:v>dianwei</x:v>
      </x:c>
      <x:c r="B35" s="14" t="str">
        <x:v>典韦</x:v>
      </x:c>
      <x:c r="C35" s="14" t="str">
        <x:v>恶来擒杀号</x:v>
      </x:c>
      <x:c r="D35" s="14" t="str">
        <x:v>专属实现</x:v>
      </x:c>
      <x:c r="E35" s="14" t="str">
        <x:v>{"base_value":52}</x:v>
      </x:c>
      <x:c r="F35" s="14" t="str">
        <x:v>恶来擒杀：打击最远目标，造成180%攻击伤害并使其攻击降低25%。</x:v>
      </x:c>
      <x:c r="G35" s="14" t="str">
        <x:v>★1 实战数值：约94物理伤害；降低25%攻击</x:v>
      </x:c>
      <x:c r="H35" s="41" t="n">
        <x:v>1.8</x:v>
      </x:c>
      <x:c r="I35" s="41" t="n">
        <x:v>1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13</x:v>
      </x:c>
      <x:c r="O35" s="41" t="n">
        <x:v>0</x:v>
      </x:c>
    </x:row>
    <x:row r="36" ht="52" customHeight="1">
      <x:c r="A36" s="14" t="str">
        <x:v>guojia</x:v>
      </x:c>
      <x:c r="B36" s="14" t="str">
        <x:v>郭嘉</x:v>
      </x:c>
      <x:c r="C36" s="14" t="str">
        <x:v>遗计冰封</x:v>
      </x:c>
      <x:c r="D36" s="14" t="str">
        <x:v>control</x:v>
      </x:c>
      <x:c r="E36" s="14" t="str">
        <x:v>{"base_value":17,"mult":0.45,"stun":1.5,"target_mode":"highest_atk","vulnerable":0.18,"vulnerable_time":4}</x:v>
      </x:c>
      <x:c r="F36" s="14" t="str">
        <x:v>鬼才冰策：冻结攻击最高敌人1.5秒，并使其受到伤害提高18%持续4秒。</x:v>
      </x:c>
      <x:c r="G36" s="14" t="str">
        <x:v>★1 实战数值：每个命中目标约17伤害；控制1.50秒</x:v>
      </x:c>
      <x:c r="H36" s="41" t="n">
        <x:v>0.45</x:v>
      </x:c>
      <x:c r="I36" s="41" t="n">
        <x:v>1</x:v>
      </x:c>
      <x:c r="J36" s="41" t="n">
        <x:v>0</x:v>
      </x:c>
      <x:c r="K36" s="41" t="n">
        <x:v>0</x:v>
      </x:c>
      <x:c r="L36" s="41" t="n">
        <x:v>0</x:v>
      </x:c>
      <x:c r="M36" s="41" t="n">
        <x:v>1.5</x:v>
      </x:c>
      <x:c r="N36" s="41" t="n">
        <x:v>8.1</x:v>
      </x:c>
      <x:c r="O36" s="41" t="n">
        <x:v>0</x:v>
      </x:c>
    </x:row>
    <x:row r="37" ht="52" customHeight="1">
      <x:c r="A37" s="14" t="str">
        <x:v>yuejin</x:v>
      </x:c>
      <x:c r="B37" s="14" t="str">
        <x:v>乐进</x:v>
      </x:c>
      <x:c r="C37" s="14" t="str">
        <x:v>五矢齐发</x:v>
      </x:c>
      <x:c r="D37" s="14" t="str">
        <x:v>multi</x:v>
      </x:c>
      <x:c r="E37" s="14" t="str">
        <x:v>{"base_value":25,"count":3,"mult":0.55,"shield_break":0.45,"target_mode":"front"}</x:v>
      </x:c>
      <x:c r="F37" s="14" t="str">
        <x:v>裂箭急袭：向前排分裂3箭，每箭55%攻击；命中护盾时额外提高45%伤害。</x:v>
      </x:c>
      <x:c r="G37" s="14" t="str">
        <x:v>★1 实战数值：3次攻击，每次约25伤害</x:v>
      </x:c>
      <x:c r="H37" s="41" t="n">
        <x:v>0.56</x:v>
      </x:c>
      <x:c r="I37" s="41" t="n">
        <x:v>3</x:v>
      </x:c>
      <x:c r="J37" s="41" t="n">
        <x:v>0</x:v>
      </x:c>
      <x:c r="K37" s="41" t="n">
        <x:v>0</x:v>
      </x:c>
      <x:c r="L37" s="41" t="n">
        <x:v>0</x:v>
      </x:c>
      <x:c r="M37" s="41" t="n">
        <x:v>0</x:v>
      </x:c>
      <x:c r="N37" s="41" t="n">
        <x:v>6.8</x:v>
      </x:c>
      <x:c r="O37" s="41" t="n">
        <x:v>0</x:v>
      </x:c>
    </x:row>
    <x:row r="38" ht="52" customHeight="1">
      <x:c r="A38" s="14" t="str">
        <x:v>simayi</x:v>
      </x:c>
      <x:c r="B38" s="14" t="str">
        <x:v>司马懿</x:v>
      </x:c>
      <x:c r="C38" s="14" t="str">
        <x:v>雷霆谋断</x:v>
      </x:c>
      <x:c r="D38" s="14" t="str">
        <x:v>multi_magic</x:v>
      </x:c>
      <x:c r="E38" s="14" t="str">
        <x:v>{"base_value":46,"count":2,"mult":1.05,"target_mode":"debuffed"}</x:v>
      </x:c>
      <x:c r="F38" s="14" t="str">
        <x:v>鹰视雷击：优先雷击带减益目标2次；若没有减益则仍随机落雷。</x:v>
      </x:c>
      <x:c r="G38" s="14" t="str">
        <x:v>★1 实战数值：2次攻击，每次约46伤害</x:v>
      </x:c>
      <x:c r="H38" s="41" t="n">
        <x:v>1.05</x:v>
      </x:c>
      <x:c r="I38" s="41" t="n">
        <x:v>2</x:v>
      </x:c>
      <x:c r="J38" s="41" t="n">
        <x:v>0</x:v>
      </x:c>
      <x:c r="K38" s="41" t="n">
        <x:v>0</x:v>
      </x:c>
      <x:c r="L38" s="41" t="n">
        <x:v>0</x:v>
      </x:c>
      <x:c r="M38" s="41" t="n">
        <x:v>0</x:v>
      </x:c>
      <x:c r="N38" s="41" t="n">
        <x:v>0</x:v>
      </x:c>
      <x:c r="O38" s="41" t="n">
        <x:v>0</x:v>
      </x:c>
    </x:row>
    <x:row r="39" ht="52" customHeight="1">
      <x:c r="A39" s="14" t="str">
        <x:v>xiahoudun</x:v>
      </x:c>
      <x:c r="B39" s="14" t="str">
        <x:v>夏侯惇</x:v>
      </x:c>
      <x:c r="C39" s="14" t="str">
        <x:v>刚烈反击</x:v>
      </x:c>
      <x:c r="D39" s="14" t="str">
        <x:v>drain</x:v>
      </x:c>
      <x:c r="E39" s="14" t="str">
        <x:v>{"base_value":62,"heal":0.25,"mult":1.35}</x:v>
      </x:c>
      <x:c r="F39" s="14" t="str">
        <x:v>造成135%攻击物理伤害，并回复实际伤害25%。</x:v>
      </x:c>
      <x:c r="G39" s="14" t="str">
        <x:v>★1 实战数值：每个命中目标约62伤害</x:v>
      </x:c>
      <x:c r="H39" s="41" t="n">
        <x:v>1.35</x:v>
      </x:c>
      <x:c r="I39" s="41" t="n">
        <x:v>1</x:v>
      </x:c>
      <x:c r="J39" s="41" t="n">
        <x:v>0</x:v>
      </x:c>
      <x:c r="K39" s="41" t="n">
        <x:v>0</x:v>
      </x:c>
      <x:c r="L39" s="41" t="n">
        <x:v>0</x:v>
      </x:c>
      <x:c r="M39" s="41" t="n">
        <x:v>0</x:v>
      </x:c>
      <x:c r="N39" s="41" t="n">
        <x:v>0</x:v>
      </x:c>
      <x:c r="O39" s="41" t="n">
        <x:v>0</x:v>
      </x:c>
    </x:row>
    <x:row r="40" ht="52" customHeight="1">
      <x:c r="A40" s="14" t="str">
        <x:v>xiahouyuan</x:v>
      </x:c>
      <x:c r="B40" s="14" t="str">
        <x:v>夏侯渊</x:v>
      </x:c>
      <x:c r="C40" s="14" t="str">
        <x:v>神速箭</x:v>
      </x:c>
      <x:c r="D40" s="14" t="str">
        <x:v>strike</x:v>
      </x:c>
      <x:c r="E40" s="14" t="str">
        <x:v>{"base_value":53,"first_mult":1.3,"mult":1.4,"silence":1.5,"target_mode":"back_low"}</x:v>
      </x:c>
      <x:c r="F40" s="14" t="str">
        <x:v>神速点杀：首次出手强化，优先后排并沉默1.5秒。</x:v>
      </x:c>
      <x:c r="G40" s="14" t="str">
        <x:v>★1 实战数值：每个命中目标约53伤害</x:v>
      </x:c>
      <x:c r="H40" s="41" t="n">
        <x:v>1.39</x:v>
      </x:c>
      <x:c r="I40" s="41" t="n">
        <x:v>1</x:v>
      </x:c>
      <x:c r="J40" s="41" t="n">
        <x:v>0</x:v>
      </x:c>
      <x:c r="K40" s="41" t="n">
        <x:v>0</x:v>
      </x:c>
      <x:c r="L40" s="41" t="n">
        <x:v>0</x:v>
      </x:c>
      <x:c r="M40" s="41" t="n">
        <x:v>0</x:v>
      </x:c>
      <x:c r="N40" s="41" t="n">
        <x:v>0</x:v>
      </x:c>
      <x:c r="O40" s="41" t="n">
        <x:v>0</x:v>
      </x:c>
    </x:row>
    <x:row r="41" ht="52" customHeight="1">
      <x:c r="A41" s="14" t="str">
        <x:v>xuhuang</x:v>
      </x:c>
      <x:c r="B41" s="14" t="str">
        <x:v>徐晃</x:v>
      </x:c>
      <x:c r="C41" s="14" t="str">
        <x:v>撼地飞斧</x:v>
      </x:c>
      <x:c r="D41" s="14" t="str">
        <x:v>row_magic</x:v>
      </x:c>
      <x:c r="E41" s="14" t="str">
        <x:v>{"base_value":38,"mult":0.9,"stun":1.5}</x:v>
      </x:c>
      <x:c r="F41" s="14" t="str">
        <x:v>对随机敌排造成90%攻击魔法伤害并眩晕1.5秒。</x:v>
      </x:c>
      <x:c r="G41" s="14" t="str">
        <x:v>★1 实战数值：每个命中目标约38伤害；控制1.50秒</x:v>
      </x:c>
      <x:c r="H41" s="41" t="n">
        <x:v>0.9</x:v>
      </x:c>
      <x:c r="I41" s="41" t="n">
        <x:v>2.2</x:v>
      </x:c>
      <x:c r="J41" s="41" t="n">
        <x:v>0</x:v>
      </x:c>
      <x:c r="K41" s="41" t="n">
        <x:v>0</x:v>
      </x:c>
      <x:c r="L41" s="41" t="n">
        <x:v>0</x:v>
      </x:c>
      <x:c r="M41" s="41" t="n">
        <x:v>1.5</x:v>
      </x:c>
      <x:c r="N41" s="41" t="n">
        <x:v>0</x:v>
      </x:c>
      <x:c r="O41" s="41" t="n">
        <x:v>0</x:v>
      </x:c>
    </x:row>
    <x:row r="42" ht="52" customHeight="1">
      <x:c r="A42" s="14" t="str">
        <x:v>xuchu</x:v>
      </x:c>
      <x:c r="B42" s="14" t="str">
        <x:v>许褚</x:v>
      </x:c>
      <x:c r="C42" s="14" t="str">
        <x:v>虎痴重锤</x:v>
      </x:c>
      <x:c r="D42" s="14" t="str">
        <x:v>专属实现</x:v>
      </x:c>
      <x:c r="E42" s="14" t="str">
        <x:v>{"base_value":60}</x:v>
      </x:c>
      <x:c r="F42" s="14" t="str">
        <x:v>虎痴重锤：造成100%攻击+min(140%攻击，当前生命8%)伤害。</x:v>
      </x:c>
      <x:c r="G42" s="14" t="str">
        <x:v>★1 实战数值：基础60伤害，另附当前生命8%伤害</x:v>
      </x:c>
      <x:c r="H42" s="41" t="n">
        <x:v>2.4</x:v>
      </x:c>
      <x:c r="I42" s="41" t="n">
        <x:v>1</x:v>
      </x:c>
      <x:c r="J42" s="41" t="n">
        <x:v>0</x:v>
      </x:c>
      <x:c r="K42" s="41" t="n">
        <x:v>0</x:v>
      </x:c>
      <x:c r="L42" s="41" t="n">
        <x:v>0</x:v>
      </x:c>
      <x:c r="M42" s="41" t="n">
        <x:v>0</x:v>
      </x:c>
      <x:c r="N42" s="41" t="n">
        <x:v>0</x:v>
      </x:c>
      <x:c r="O42" s="41" t="n">
        <x:v>0</x:v>
      </x:c>
    </x:row>
    <x:row r="43" ht="52" customHeight="1">
      <x:c r="A43" s="14" t="str">
        <x:v>xunyu</x:v>
      </x:c>
      <x:c r="B43" s="14" t="str">
        <x:v>荀彧</x:v>
      </x:c>
      <x:c r="C43" s="14" t="str">
        <x:v>王佐举荐</x:v>
      </x:c>
      <x:c r="D43" s="14" t="str">
        <x:v>buff_two</x:v>
      </x:c>
      <x:c r="E43" s="14" t="str">
        <x:v>{"action":0.12,"damage":0.18}</x:v>
      </x:c>
      <x:c r="F43" s="14" t="str">
        <x:v>举荐两名当前生命比例最低的友军，使其伤害提高18%、行动条速度提高12%。</x:v>
      </x:c>
      <x:c r="G43" s="14" t="str">
        <x:v>★1 实战数值：增伤18.0%；行动加速12.0%</x:v>
      </x:c>
      <x:c r="H43" s="41" t="n">
        <x:v>0</x:v>
      </x:c>
      <x:c r="I43" s="41" t="n">
        <x:v>1</x:v>
      </x:c>
      <x:c r="J43" s="41" t="n">
        <x:v>0</x:v>
      </x:c>
      <x:c r="K43" s="41" t="n">
        <x:v>0</x:v>
      </x:c>
      <x:c r="L43" s="41" t="n">
        <x:v>0</x:v>
      </x:c>
      <x:c r="M43" s="41" t="n">
        <x:v>0</x:v>
      </x:c>
      <x:c r="N43" s="41" t="n">
        <x:v>63</x:v>
      </x:c>
      <x:c r="O43" s="41" t="n">
        <x:v>0.1</x:v>
      </x:c>
    </x:row>
    <x:row r="44" ht="52" customHeight="1">
      <x:c r="A44" s="14" t="str">
        <x:v>yujin</x:v>
      </x:c>
      <x:c r="B44" s="14" t="str">
        <x:v>于禁</x:v>
      </x:c>
      <x:c r="C44" s="14" t="str">
        <x:v>毅重军阵</x:v>
      </x:c>
      <x:c r="D44" s="14" t="str">
        <x:v>shield_single</x:v>
      </x:c>
      <x:c r="E44" s="14" t="str">
        <x:v>{"base_shield":83,"flat":35,"mult":1.2}</x:v>
      </x:c>
      <x:c r="F44" s="14" t="str">
        <x:v>为当前生命比例最低的友军提供120%攻击力+35点护盾。</x:v>
      </x:c>
      <x:c r="G44" s="14" t="str">
        <x:v>★1 实战数值：每个目标获得约83护盾</x:v>
      </x:c>
      <x:c r="H44" s="41" t="n">
        <x:v>0</x:v>
      </x:c>
      <x:c r="I44" s="41" t="n">
        <x:v>1</x:v>
      </x:c>
      <x:c r="J44" s="41" t="n">
        <x:v>0</x:v>
      </x:c>
      <x:c r="K44" s="41" t="n">
        <x:v>0</x:v>
      </x:c>
      <x:c r="L44" s="41" t="n">
        <x:v>83</x:v>
      </x:c>
      <x:c r="M44" s="41" t="n">
        <x:v>0</x:v>
      </x:c>
      <x:c r="N44" s="41" t="n">
        <x:v>0</x:v>
      </x:c>
      <x:c r="O44" s="41" t="n">
        <x:v>0</x:v>
      </x:c>
    </x:row>
    <x:row r="45" ht="52" customHeight="1">
      <x:c r="A45" s="14" t="str">
        <x:v>zhanghe</x:v>
      </x:c>
      <x:c r="B45" s="14" t="str">
        <x:v>张郃</x:v>
      </x:c>
      <x:c r="C45" s="14" t="str">
        <x:v>破阵枪</x:v>
      </x:c>
      <x:c r="D45" s="14" t="str">
        <x:v>control</x:v>
      </x:c>
      <x:c r="E45" s="14" t="str">
        <x:v>{"base_value":47,"mult":1,"stun":1.5}</x:v>
      </x:c>
      <x:c r="F45" s="14" t="str">
        <x:v>造成100%攻击物理伤害并眩晕1.5秒。</x:v>
      </x:c>
      <x:c r="G45" s="14" t="str">
        <x:v>★1 实战数值：每个命中目标约47伤害；控制1.50秒</x:v>
      </x:c>
      <x:c r="H45" s="41" t="n">
        <x:v>1</x:v>
      </x:c>
      <x:c r="I45" s="41" t="n">
        <x:v>1</x:v>
      </x:c>
      <x:c r="J45" s="41" t="n">
        <x:v>0</x:v>
      </x:c>
      <x:c r="K45" s="41" t="n">
        <x:v>0</x:v>
      </x:c>
      <x:c r="L45" s="41" t="n">
        <x:v>0</x:v>
      </x:c>
      <x:c r="M45" s="41" t="n">
        <x:v>1.5</x:v>
      </x:c>
      <x:c r="N45" s="41" t="n">
        <x:v>0</x:v>
      </x:c>
      <x:c r="O45" s="41" t="n">
        <x:v>0</x:v>
      </x:c>
    </x:row>
    <x:row r="46" ht="52" customHeight="1">
      <x:c r="A46" s="14" t="str">
        <x:v>zhangliao</x:v>
      </x:c>
      <x:c r="B46" s="14" t="str">
        <x:v>张辽</x:v>
      </x:c>
      <x:c r="C46" s="14" t="str">
        <x:v>逍遥津突袭</x:v>
      </x:c>
      <x:c r="D46" s="14" t="str">
        <x:v>row</x:v>
      </x:c>
      <x:c r="E46" s="14" t="str">
        <x:v>{"base_value":72,"mult":1.35}</x:v>
      </x:c>
      <x:c r="F46" s="14" t="str">
        <x:v>贯穿随机敌排，造成135%攻击物理伤害。</x:v>
      </x:c>
      <x:c r="G46" s="14" t="str">
        <x:v>★1 实战数值：每个命中目标约72伤害</x:v>
      </x:c>
      <x:c r="H46" s="41" t="n">
        <x:v>1.36</x:v>
      </x:c>
      <x:c r="I46" s="41" t="n">
        <x:v>2.2</x:v>
      </x:c>
      <x:c r="J46" s="41" t="n">
        <x:v>0</x:v>
      </x:c>
      <x:c r="K46" s="41" t="n">
        <x:v>0</x:v>
      </x:c>
      <x:c r="L46" s="41" t="n">
        <x:v>0</x:v>
      </x:c>
      <x:c r="M46" s="41" t="n">
        <x:v>0</x:v>
      </x:c>
      <x:c r="N46" s="41" t="n">
        <x:v>0</x:v>
      </x:c>
      <x:c r="O46" s="41" t="n">
        <x:v>0</x:v>
      </x:c>
    </x:row>
    <x:row r="47" ht="52" customHeight="1">
      <x:c r="A47" s="14" t="str">
        <x:v>daqiao</x:v>
      </x:c>
      <x:c r="B47" s="14" t="str">
        <x:v>大乔</x:v>
      </x:c>
      <x:c r="C47" s="14" t="str">
        <x:v>国色流离</x:v>
      </x:c>
      <x:c r="D47" s="14" t="str">
        <x:v>heal</x:v>
      </x:c>
      <x:c r="E47" s="14" t="str">
        <x:v>{"base_heal":297,"flat":95,"mult":1.5}</x:v>
      </x:c>
      <x:c r="F47" s="14" t="str">
        <x:v>随机治疗己方格约300点；命中空格则治疗主公。</x:v>
      </x:c>
      <x:c r="G47" s="14" t="str">
        <x:v>★1 实战数值：单次治疗约297</x:v>
      </x:c>
      <x:c r="H47" s="41" t="n">
        <x:v>0</x:v>
      </x:c>
      <x:c r="I47" s="41" t="n">
        <x:v>1</x:v>
      </x:c>
      <x:c r="J47" s="41" t="n">
        <x:v>0</x:v>
      </x:c>
      <x:c r="K47" s="41" t="n">
        <x:v>297</x:v>
      </x:c>
      <x:c r="L47" s="41" t="n">
        <x:v>0</x:v>
      </x:c>
      <x:c r="M47" s="41" t="n">
        <x:v>0</x:v>
      </x:c>
      <x:c r="N47" s="41" t="n">
        <x:v>0</x:v>
      </x:c>
      <x:c r="O47" s="41" t="n">
        <x:v>0</x:v>
      </x:c>
    </x:row>
    <x:row r="48" ht="52" customHeight="1">
      <x:c r="A48" s="14" t="str">
        <x:v>ganning</x:v>
      </x:c>
      <x:c r="B48" s="14" t="str">
        <x:v>甘宁</x:v>
      </x:c>
      <x:c r="C48" s="14" t="str">
        <x:v>锦帆奇袭</x:v>
      </x:c>
      <x:c r="D48" s="14" t="str">
        <x:v>strike</x:v>
      </x:c>
      <x:c r="E48" s="14" t="str">
        <x:v>{"ally_stealth":true,"base_value":70,"mult":1.35,"stealth":2.5,"target_mode":"back_low"}</x:v>
      </x:c>
      <x:c r="F48" s="14" t="str">
        <x:v>锦帆夜袭：自身与同排生命最低友军潜行2.5秒，随后突击后排。</x:v>
      </x:c>
      <x:c r="G48" s="14" t="str">
        <x:v>★1 实战数值：每个命中目标约70伤害</x:v>
      </x:c>
      <x:c r="H48" s="41" t="n">
        <x:v>1.35</x:v>
      </x:c>
      <x:c r="I48" s="41" t="n">
        <x:v>1</x:v>
      </x:c>
      <x:c r="J48" s="41" t="n">
        <x:v>0</x:v>
      </x:c>
      <x:c r="K48" s="41" t="n">
        <x:v>0</x:v>
      </x:c>
      <x:c r="L48" s="41" t="n">
        <x:v>0</x:v>
      </x:c>
      <x:c r="M48" s="41" t="n">
        <x:v>0</x:v>
      </x:c>
      <x:c r="N48" s="41" t="n">
        <x:v>12.5</x:v>
      </x:c>
      <x:c r="O48" s="41" t="n">
        <x:v>0</x:v>
      </x:c>
    </x:row>
    <x:row r="49" ht="52" customHeight="1">
      <x:c r="A49" s="14" t="str">
        <x:v>huanggai</x:v>
      </x:c>
      <x:c r="B49" s="14" t="str">
        <x:v>黄盖</x:v>
      </x:c>
      <x:c r="C49" s="14" t="str">
        <x:v>苦肉计</x:v>
      </x:c>
      <x:c r="D49" s="14" t="str">
        <x:v>row</x:v>
      </x:c>
      <x:c r="E49" s="14" t="str">
        <x:v>{"base_value":65,"mult":1.35,"self_cost":0.08}</x:v>
      </x:c>
      <x:c r="F49" s="14" t="str">
        <x:v>消耗自身8%当前生命，对随机敌排造成135%攻击物理伤害。</x:v>
      </x:c>
      <x:c r="G49" s="14" t="str">
        <x:v>★1 实战数值：每个命中目标约65伤害</x:v>
      </x:c>
      <x:c r="H49" s="41" t="n">
        <x:v>1.35</x:v>
      </x:c>
      <x:c r="I49" s="41" t="n">
        <x:v>2.2</x:v>
      </x:c>
      <x:c r="J49" s="41" t="n">
        <x:v>0</x:v>
      </x:c>
      <x:c r="K49" s="41" t="n">
        <x:v>0</x:v>
      </x:c>
      <x:c r="L49" s="41" t="n">
        <x:v>0</x:v>
      </x:c>
      <x:c r="M49" s="41" t="n">
        <x:v>0</x:v>
      </x:c>
      <x:c r="N49" s="41" t="n">
        <x:v>0</x:v>
      </x:c>
      <x:c r="O49" s="41" t="n">
        <x:v>0</x:v>
      </x:c>
    </x:row>
    <x:row r="50" ht="52" customHeight="1">
      <x:c r="A50" s="14" t="str">
        <x:v>jiangqin</x:v>
      </x:c>
      <x:c r="B50" s="14" t="str">
        <x:v>蒋钦</x:v>
      </x:c>
      <x:c r="C50" s="14" t="str">
        <x:v>强弓号令</x:v>
      </x:c>
      <x:c r="D50" s="14" t="str">
        <x:v>buff_row_ranged</x:v>
      </x:c>
      <x:c r="E50" s="14" t="str">
        <x:v>{"damage":0.22}</x:v>
      </x:c>
      <x:c r="F50" s="14" t="str">
        <x:v>使自身同排的远程友军伤害提高22%。</x:v>
      </x:c>
      <x:c r="G50" s="14" t="str">
        <x:v>★1 实战数值：增伤22.0%；行动加速0.0%</x:v>
      </x:c>
      <x:c r="H50" s="41" t="n">
        <x:v>0</x:v>
      </x:c>
      <x:c r="I50" s="41" t="n">
        <x:v>1</x:v>
      </x:c>
      <x:c r="J50" s="41" t="n">
        <x:v>0</x:v>
      </x:c>
      <x:c r="K50" s="41" t="n">
        <x:v>0</x:v>
      </x:c>
      <x:c r="L50" s="41" t="n">
        <x:v>0</x:v>
      </x:c>
      <x:c r="M50" s="41" t="n">
        <x:v>0</x:v>
      </x:c>
      <x:c r="N50" s="41" t="n">
        <x:v>67</x:v>
      </x:c>
      <x:c r="O50" s="41" t="n">
        <x:v>0</x:v>
      </x:c>
    </x:row>
    <x:row r="51" ht="52" customHeight="1">
      <x:c r="A51" s="14" t="str">
        <x:v>lusu</x:v>
      </x:c>
      <x:c r="B51" s="14" t="str">
        <x:v>鲁肃</x:v>
      </x:c>
      <x:c r="C51" s="14" t="str">
        <x:v>连横稳阵</x:v>
      </x:c>
      <x:c r="D51" s="14" t="str">
        <x:v>专属实现</x:v>
      </x:c>
      <x:c r="E51" s="14" t="str">
        <x:v>{"base_value":36}</x:v>
      </x:c>
      <x:c r="F51" s="14" t="str">
        <x:v>连横稳阵：治疗生命比例最低的友军，并使其最大生命提高10%，每名武将最多3次。</x:v>
      </x:c>
      <x:c r="G51" s="14" t="str">
        <x:v>★1 实战数值：单次治疗约196，并使目标最大生命提高10%（最多3次）</x:v>
      </x:c>
      <x:c r="H51" s="41" t="n">
        <x:v>0</x:v>
      </x:c>
      <x:c r="I51" s="41" t="n">
        <x:v>1</x:v>
      </x:c>
      <x:c r="J51" s="41" t="n">
        <x:v>0</x:v>
      </x:c>
      <x:c r="K51" s="41" t="n">
        <x:v>196</x:v>
      </x:c>
      <x:c r="L51" s="41" t="n">
        <x:v>0</x:v>
      </x:c>
      <x:c r="M51" s="41" t="n">
        <x:v>0</x:v>
      </x:c>
      <x:c r="N51" s="41" t="n">
        <x:v>35</x:v>
      </x:c>
      <x:c r="O51" s="41" t="n">
        <x:v>0</x:v>
      </x:c>
    </x:row>
    <x:row r="52" ht="52" customHeight="1">
      <x:c r="A52" s="14" t="str">
        <x:v>luxun</x:v>
      </x:c>
      <x:c r="B52" s="14" t="str">
        <x:v>陆逊</x:v>
      </x:c>
      <x:c r="C52" s="14" t="str">
        <x:v>火烧连营</x:v>
      </x:c>
      <x:c r="D52" s="14" t="str">
        <x:v>专属实现</x:v>
      </x:c>
      <x:c r="E52" s="14" t="str">
        <x:v>{"base_value":44}</x:v>
      </x:c>
      <x:c r="F52" s="14" t="str">
        <x:v>火烧连营：对随机目标造成220%攻击法术伤害，并向其他目标弹射。</x:v>
      </x:c>
      <x:c r="G52" s="14" t="str">
        <x:v>★1 实战数值：主目标97；弹射44</x:v>
      </x:c>
      <x:c r="H52" s="41" t="n">
        <x:v>2.2</x:v>
      </x:c>
      <x:c r="I52" s="41" t="n">
        <x:v>2</x:v>
      </x:c>
      <x:c r="J52" s="41" t="n">
        <x:v>0</x:v>
      </x:c>
      <x:c r="K52" s="41" t="n">
        <x:v>0</x:v>
      </x:c>
      <x:c r="L52" s="41" t="n">
        <x:v>0</x:v>
      </x:c>
      <x:c r="M52" s="41" t="n">
        <x:v>0</x:v>
      </x:c>
      <x:c r="N52" s="41" t="n">
        <x:v>0</x:v>
      </x:c>
      <x:c r="O52" s="41" t="n">
        <x:v>0</x:v>
      </x:c>
    </x:row>
    <x:row r="53" ht="52" customHeight="1">
      <x:c r="A53" s="14" t="str">
        <x:v>lvmeng</x:v>
      </x:c>
      <x:c r="B53" s="14" t="str">
        <x:v>吕蒙</x:v>
      </x:c>
      <x:c r="C53" s="14" t="str">
        <x:v>白衣渡江</x:v>
      </x:c>
      <x:c r="D53" s="14" t="str">
        <x:v>strike</x:v>
      </x:c>
      <x:c r="E53" s="14" t="str">
        <x:v>{"base_value":78,"bonus_burning":0.55,"mult":1.55,"stealth":2.5,"target_mode":"back_low"}</x:v>
      </x:c>
      <x:c r="F53" s="14" t="str">
        <x:v>白衣奇袭：施法前潜行并突袭后排；灼烧目标额外受到55%攻击法术伤害。</x:v>
      </x:c>
      <x:c r="G53" s="14" t="str">
        <x:v>★1 实战数值：每个命中目标约78伤害</x:v>
      </x:c>
      <x:c r="H53" s="41" t="n">
        <x:v>1.56</x:v>
      </x:c>
      <x:c r="I53" s="41" t="n">
        <x:v>1</x:v>
      </x:c>
      <x:c r="J53" s="41" t="n">
        <x:v>0</x:v>
      </x:c>
      <x:c r="K53" s="41" t="n">
        <x:v>0</x:v>
      </x:c>
      <x:c r="L53" s="41" t="n">
        <x:v>0</x:v>
      </x:c>
      <x:c r="M53" s="41" t="n">
        <x:v>0</x:v>
      </x:c>
      <x:c r="N53" s="41" t="n">
        <x:v>12.5</x:v>
      </x:c>
      <x:c r="O53" s="41" t="n">
        <x:v>0</x:v>
      </x:c>
    </x:row>
    <x:row r="54" ht="52" customHeight="1">
      <x:c r="A54" s="14" t="str">
        <x:v>sunce</x:v>
      </x:c>
      <x:c r="B54" s="14" t="str">
        <x:v>孙策</x:v>
      </x:c>
      <x:c r="C54" s="14" t="str">
        <x:v>小霸王</x:v>
      </x:c>
      <x:c r="D54" s="14" t="str">
        <x:v>drain</x:v>
      </x:c>
      <x:c r="E54" s="14" t="str">
        <x:v>{"base_value":91,"heal":0.4,"mult":1.55}</x:v>
      </x:c>
      <x:c r="F54" s="14" t="str">
        <x:v>造成155%攻击物理伤害并回复实际伤害40%。生命越低，羁绊强化越高。</x:v>
      </x:c>
      <x:c r="G54" s="14" t="str">
        <x:v>★1 实战数值：每个命中目标约91伤害</x:v>
      </x:c>
      <x:c r="H54" s="41" t="n">
        <x:v>1.54</x:v>
      </x:c>
      <x:c r="I54" s="41" t="n">
        <x:v>1</x:v>
      </x:c>
      <x:c r="J54" s="41" t="n">
        <x:v>0</x:v>
      </x:c>
      <x:c r="K54" s="41" t="n">
        <x:v>0</x:v>
      </x:c>
      <x:c r="L54" s="41" t="n">
        <x:v>0</x:v>
      </x:c>
      <x:c r="M54" s="41" t="n">
        <x:v>0</x:v>
      </x:c>
      <x:c r="N54" s="41" t="n">
        <x:v>0</x:v>
      </x:c>
      <x:c r="O54" s="41" t="n">
        <x:v>0</x:v>
      </x:c>
    </x:row>
    <x:row r="55" ht="52" customHeight="1">
      <x:c r="A55" s="14" t="str">
        <x:v>sunjian</x:v>
      </x:c>
      <x:c r="B55" s="14" t="str">
        <x:v>孙坚</x:v>
      </x:c>
      <x:c r="C55" s="14" t="str">
        <x:v>江东猛虎</x:v>
      </x:c>
      <x:c r="D55" s="14" t="str">
        <x:v>strike</x:v>
      </x:c>
      <x:c r="E55" s="14" t="str">
        <x:v>{"base_value":99,"mult":1.9}</x:v>
      </x:c>
      <x:c r="F55" s="14" t="str">
        <x:v>造成190%攻击物理伤害；本场第一次释放提高至260%。</x:v>
      </x:c>
      <x:c r="G55" s="14" t="str">
        <x:v>★1 实战数值：每个命中目标约99伤害</x:v>
      </x:c>
      <x:c r="H55" s="41" t="n">
        <x:v>1.9</x:v>
      </x:c>
      <x:c r="I55" s="41" t="n">
        <x:v>1</x:v>
      </x:c>
      <x:c r="J55" s="41" t="n">
        <x:v>0</x:v>
      </x:c>
      <x:c r="K55" s="41" t="n">
        <x:v>0</x:v>
      </x:c>
      <x:c r="L55" s="41" t="n">
        <x:v>0</x:v>
      </x:c>
      <x:c r="M55" s="41" t="n">
        <x:v>0</x:v>
      </x:c>
      <x:c r="N55" s="41" t="n">
        <x:v>0</x:v>
      </x:c>
      <x:c r="O55" s="41" t="n">
        <x:v>0</x:v>
      </x:c>
    </x:row>
    <x:row r="56" ht="52" customHeight="1">
      <x:c r="A56" s="14" t="str">
        <x:v>sunquan</x:v>
      </x:c>
      <x:c r="B56" s="14" t="str">
        <x:v>孙权</x:v>
      </x:c>
      <x:c r="C56" s="14" t="str">
        <x:v>制衡号令</x:v>
      </x:c>
      <x:c r="D56" s="14" t="str">
        <x:v>buff_column</x:v>
      </x:c>
      <x:c r="E56" s="14" t="str">
        <x:v>{"damage":0.2,"heal_ratio":0.05}</x:v>
      </x:c>
      <x:c r="F56" s="14" t="str">
        <x:v>号令自身同列友军，使其伤害提高20%，并恢复5%最大生命。</x:v>
      </x:c>
      <x:c r="G56" s="14" t="str">
        <x:v>★1 实战数值：增伤20.0%；行动加速0.0%</x:v>
      </x:c>
      <x:c r="H56" s="41" t="n">
        <x:v>0</x:v>
      </x:c>
      <x:c r="I56" s="41" t="n">
        <x:v>1</x:v>
      </x:c>
      <x:c r="J56" s="41" t="n">
        <x:v>0</x:v>
      </x:c>
      <x:c r="K56" s="41" t="n">
        <x:v>0</x:v>
      </x:c>
      <x:c r="L56" s="41" t="n">
        <x:v>0</x:v>
      </x:c>
      <x:c r="M56" s="41" t="n">
        <x:v>0</x:v>
      </x:c>
      <x:c r="N56" s="41" t="n">
        <x:v>65</x:v>
      </x:c>
      <x:c r="O56" s="41" t="n">
        <x:v>0</x:v>
      </x:c>
    </x:row>
    <x:row r="57" ht="52" customHeight="1">
      <x:c r="A57" s="14" t="str">
        <x:v>sunshangxiang</x:v>
      </x:c>
      <x:c r="B57" s="14" t="str">
        <x:v>孙尚香</x:v>
      </x:c>
      <x:c r="C57" s="14" t="str">
        <x:v>枭姬连弩</x:v>
      </x:c>
      <x:c r="D57" s="14" t="str">
        <x:v>multi</x:v>
      </x:c>
      <x:c r="E57" s="14" t="str">
        <x:v>{"base_value":33,"count":2,"death_barrage":true,"mult":0.72,"target_mode":"back_low"}</x:v>
      </x:c>
      <x:c r="F57" s="14" t="str">
        <x:v>枭姬连弩：连射后排2次；友军首次阵亡时立即获得一次免费炮击。</x:v>
      </x:c>
      <x:c r="G57" s="14" t="str">
        <x:v>★1 实战数值：2次攻击，每次约33伤害</x:v>
      </x:c>
      <x:c r="H57" s="41" t="n">
        <x:v>0.72</x:v>
      </x:c>
      <x:c r="I57" s="41" t="n">
        <x:v>2</x:v>
      </x:c>
      <x:c r="J57" s="41" t="n">
        <x:v>0</x:v>
      </x:c>
      <x:c r="K57" s="41" t="n">
        <x:v>0</x:v>
      </x:c>
      <x:c r="L57" s="41" t="n">
        <x:v>0</x:v>
      </x:c>
      <x:c r="M57" s="41" t="n">
        <x:v>0</x:v>
      </x:c>
      <x:c r="N57" s="41" t="n">
        <x:v>0</x:v>
      </x:c>
      <x:c r="O57" s="41" t="n">
        <x:v>0</x:v>
      </x:c>
    </x:row>
    <x:row r="58" ht="52" customHeight="1">
      <x:c r="A58" s="14" t="str">
        <x:v>xiaoqiao</x:v>
      </x:c>
      <x:c r="B58" s="14" t="str">
        <x:v>小乔</x:v>
      </x:c>
      <x:c r="C58" s="14" t="str">
        <x:v>天香缓阵</x:v>
      </x:c>
      <x:c r="D58" s="14" t="str">
        <x:v>control</x:v>
      </x:c>
      <x:c r="E58" s="14" t="str">
        <x:v>{"base_value":18,"mult":0.5,"stun":1.6}</x:v>
      </x:c>
      <x:c r="F58" s="14" t="str">
        <x:v>造成50%攻击魔法伤害，并使目标行动条停止1.6秒。</x:v>
      </x:c>
      <x:c r="G58" s="14" t="str">
        <x:v>★1 实战数值：每个命中目标约18伤害；控制1.60秒</x:v>
      </x:c>
      <x:c r="H58" s="41" t="n">
        <x:v>0.51</x:v>
      </x:c>
      <x:c r="I58" s="41" t="n">
        <x:v>1</x:v>
      </x:c>
      <x:c r="J58" s="41" t="n">
        <x:v>0</x:v>
      </x:c>
      <x:c r="K58" s="41" t="n">
        <x:v>0</x:v>
      </x:c>
      <x:c r="L58" s="41" t="n">
        <x:v>0</x:v>
      </x:c>
      <x:c r="M58" s="41" t="n">
        <x:v>1.6</x:v>
      </x:c>
      <x:c r="N58" s="41" t="n">
        <x:v>0</x:v>
      </x:c>
      <x:c r="O58" s="41" t="n">
        <x:v>0</x:v>
      </x:c>
    </x:row>
    <x:row r="59" ht="52" customHeight="1">
      <x:c r="A59" s="14" t="str">
        <x:v>xusheng</x:v>
      </x:c>
      <x:c r="B59" s="14" t="str">
        <x:v>徐盛</x:v>
      </x:c>
      <x:c r="C59" s="14" t="str">
        <x:v>疑城水阵</x:v>
      </x:c>
      <x:c r="D59" s="14" t="str">
        <x:v>row_magic</x:v>
      </x:c>
      <x:c r="E59" s="14" t="str">
        <x:v>{"base_value":28,"mult":0.65,"slow":0.2,"slow_time":4,"stun":0.8}</x:v>
      </x:c>
      <x:c r="F59" s="14" t="str">
        <x:v>宿卫水阵：冲击一排并留下4秒水阵，使该排行动速度降低20%。</x:v>
      </x:c>
      <x:c r="G59" s="14" t="str">
        <x:v>★1 实战数值：每个命中目标约28伤害；控制0.80秒</x:v>
      </x:c>
      <x:c r="H59" s="41" t="n">
        <x:v>0.65</x:v>
      </x:c>
      <x:c r="I59" s="41" t="n">
        <x:v>2.2</x:v>
      </x:c>
      <x:c r="J59" s="41" t="n">
        <x:v>0</x:v>
      </x:c>
      <x:c r="K59" s="41" t="n">
        <x:v>0</x:v>
      </x:c>
      <x:c r="L59" s="41" t="n">
        <x:v>0</x:v>
      </x:c>
      <x:c r="M59" s="41" t="n">
        <x:v>0.8</x:v>
      </x:c>
      <x:c r="N59" s="41" t="n">
        <x:v>0</x:v>
      </x:c>
      <x:c r="O59" s="41" t="n">
        <x:v>0</x:v>
      </x:c>
    </x:row>
    <x:row r="60" ht="52" customHeight="1">
      <x:c r="A60" s="14" t="str">
        <x:v>zhouyu</x:v>
      </x:c>
      <x:c r="B60" s="14" t="str">
        <x:v>周瑜</x:v>
      </x:c>
      <x:c r="C60" s="14" t="str">
        <x:v>赤壁点火</x:v>
      </x:c>
      <x:c r="D60" s="14" t="str">
        <x:v>row_magic</x:v>
      </x:c>
      <x:c r="E60" s="14" t="str">
        <x:v>{"base_value":51,"burn":5,"burn_per_sec":12,"burn_ratio":0.28,"mark":"fire","mult":1.15}</x:v>
      </x:c>
      <x:c r="F60" s="14" t="str">
        <x:v>赤壁点火：对随机敌排造成法术伤害并灼烧5秒。</x:v>
      </x:c>
      <x:c r="G60" s="14" t="str">
        <x:v>★1 实战数值：每个目标59魔法伤害；每秒灼烧12；灼烧5.0秒</x:v>
      </x:c>
      <x:c r="H60" s="41" t="n">
        <x:v>1.16</x:v>
      </x:c>
      <x:c r="I60" s="41" t="n">
        <x:v>2.2</x:v>
      </x:c>
      <x:c r="J60" s="41" t="n">
        <x:v>132</x:v>
      </x:c>
      <x:c r="K60" s="41" t="n">
        <x:v>0</x:v>
      </x:c>
      <x:c r="L60" s="41" t="n">
        <x:v>0</x:v>
      </x:c>
      <x:c r="M60" s="41" t="n">
        <x:v>0</x:v>
      </x:c>
      <x:c r="N60" s="41" t="n">
        <x:v>0</x:v>
      </x:c>
      <x:c r="O60" s="41" t="n">
        <x:v>0</x:v>
      </x:c>
    </x:row>
  </x:sheetData>
  <x:mergeCells>
    <x:mergeCell ref="A1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16" hidden="0" customWidth="1"/>
    <x:col min="5" max="5" width="20" hidden="0" customWidth="1"/>
    <x:col min="6" max="6" width="72" hidden="0" customWidth="1"/>
    <x:col min="7" max="7" width="28" hidden="0" customWidth="1"/>
  </x:cols>
  <x:sheetData>
    <x:row r="1" ht="48" customHeight="1">
      <x:c r="A1" s="4" t="str">
        <x:v>全部羁绊效果清单
同一组合中不同武将获得不同效果时按受益武将分别列示。</x:v>
      </x:c>
    </x:row>
    <x:row r="2" ht="48" customHeight="1"/>
    <x:row r="4" ht="30" customHeight="1">
      <x:c r="A4" s="10" t="str">
        <x:v>类别</x:v>
      </x:c>
      <x:c r="B4" s="10" t="str">
        <x:v>羁绊</x:v>
      </x:c>
      <x:c r="C4" s="10" t="str">
        <x:v>成员</x:v>
      </x:c>
      <x:c r="D4" s="10" t="str">
        <x:v>受益武将</x:v>
      </x:c>
      <x:c r="E4" s="10" t="str">
        <x:v>触发条件</x:v>
      </x:c>
      <x:c r="F4" s="10" t="str">
        <x:v>实际效果</x:v>
      </x:c>
      <x:c r="G4" s="10" t="str">
        <x:v>平衡关注</x:v>
      </x:c>
    </x:row>
    <x:row r="5" ht="48" customHeight="1">
      <x:c r="A5" s="42" t="str">
        <x:v>人物羁绊</x:v>
      </x:c>
      <x:c r="B5" s="42" t="str">
        <x:v>白衣奇袭</x:v>
      </x:c>
      <x:c r="C5" s="14" t="str">
        <x:v>吕蒙、甘宁</x:v>
      </x:c>
      <x:c r="D5" s="14" t="str">
        <x:v>甘宁</x:v>
      </x:c>
      <x:c r="E5" s="14" t="str">
        <x:v>所列成员上阵</x:v>
      </x:c>
      <x:c r="F5" s="14" t="str">
        <x:v>释放主动后使吕蒙潜行1.5秒。</x:v>
      </x:c>
      <x:c r="G5" s="14" t="str">
        <x:v>常规联动</x:v>
      </x:c>
    </x:row>
    <x:row r="6" ht="48" customHeight="1">
      <x:c r="A6" s="42" t="str">
        <x:v>人物羁绊</x:v>
      </x:c>
      <x:c r="B6" s="42" t="str">
        <x:v>白衣奇袭</x:v>
      </x:c>
      <x:c r="C6" s="14" t="str">
        <x:v>吕蒙、甘宁</x:v>
      </x:c>
      <x:c r="D6" s="14" t="str">
        <x:v>吕蒙</x:v>
      </x:c>
      <x:c r="E6" s="14" t="str">
        <x:v>所列成员上阵</x:v>
      </x:c>
      <x:c r="F6" s="14" t="str">
        <x:v>释放主动后使甘宁潜行1.5秒。</x:v>
      </x:c>
      <x:c r="G6" s="14" t="str">
        <x:v>常规联动</x:v>
      </x:c>
    </x:row>
    <x:row r="7" ht="48" customHeight="1">
      <x:c r="A7" s="42" t="str">
        <x:v>人物羁绊</x:v>
      </x:c>
      <x:c r="B7" s="42" t="str">
        <x:v>东吴都督</x:v>
      </x:c>
      <x:c r="C7" s="14" t="str">
        <x:v>周瑜、陆逊、鲁肃、吕蒙</x:v>
      </x:c>
      <x:c r="D7" s="14" t="str">
        <x:v>鲁肃</x:v>
      </x:c>
      <x:c r="E7" s="14" t="str">
        <x:v>所列成员上阵</x:v>
      </x:c>
      <x:c r="F7" s="14" t="str">
        <x:v>治疗后使行动条最低的另一名都督获得20%行动条。</x:v>
      </x:c>
      <x:c r="G7" s="14" t="str">
        <x:v>常规联动</x:v>
      </x:c>
    </x:row>
    <x:row r="8" ht="48" customHeight="1">
      <x:c r="A8" s="42" t="str">
        <x:v>人物羁绊</x:v>
      </x:c>
      <x:c r="B8" s="42" t="str">
        <x:v>东吴都督</x:v>
      </x:c>
      <x:c r="C8" s="14" t="str">
        <x:v>周瑜、陆逊、鲁肃、吕蒙</x:v>
      </x:c>
      <x:c r="D8" s="14" t="str">
        <x:v>陆逊</x:v>
      </x:c>
      <x:c r="E8" s="14" t="str">
        <x:v>所列成员上阵</x:v>
      </x:c>
      <x:c r="F8" s="14" t="str">
        <x:v>火球弹射次数变为2次；释放后为另一名都督提供20%行动条。</x:v>
      </x:c>
      <x:c r="G8" s="14" t="str">
        <x:v>常规联动</x:v>
      </x:c>
    </x:row>
    <x:row r="9" ht="48" customHeight="1">
      <x:c r="A9" s="42" t="str">
        <x:v>人物羁绊</x:v>
      </x:c>
      <x:c r="B9" s="42" t="str">
        <x:v>东吴都督</x:v>
      </x:c>
      <x:c r="C9" s="14" t="str">
        <x:v>周瑜、陆逊、鲁肃、吕蒙</x:v>
      </x:c>
      <x:c r="D9" s="14" t="str">
        <x:v>吕蒙</x:v>
      </x:c>
      <x:c r="E9" s="14" t="str">
        <x:v>所列成员上阵</x:v>
      </x:c>
      <x:c r="F9" s="14" t="str">
        <x:v>潜袭后使行动条最低的另一名都督获得20%行动条。</x:v>
      </x:c>
      <x:c r="G9" s="14" t="str">
        <x:v>常规联动</x:v>
      </x:c>
    </x:row>
    <x:row r="10" ht="48" customHeight="1">
      <x:c r="A10" s="42" t="str">
        <x:v>人物羁绊</x:v>
      </x:c>
      <x:c r="B10" s="42" t="str">
        <x:v>东吴都督</x:v>
      </x:c>
      <x:c r="C10" s="14" t="str">
        <x:v>周瑜、陆逊、鲁肃、吕蒙</x:v>
      </x:c>
      <x:c r="D10" s="14" t="str">
        <x:v>周瑜</x:v>
      </x:c>
      <x:c r="E10" s="14" t="str">
        <x:v>所列成员上阵</x:v>
      </x:c>
      <x:c r="F10" s="14" t="str">
        <x:v>释放赤壁点火后，使行动条最低的另一名都督获得20%行动条。</x:v>
      </x:c>
      <x:c r="G10" s="14" t="str">
        <x:v>常规联动</x:v>
      </x:c>
    </x:row>
    <x:row r="11" ht="48" customHeight="1">
      <x:c r="A11" s="42" t="str">
        <x:v>人物羁绊</x:v>
      </x:c>
      <x:c r="B11" s="42" t="str">
        <x:v>飞火流星</x:v>
      </x:c>
      <x:c r="C11" s="14" t="str">
        <x:v>黄忠、魏延</x:v>
      </x:c>
      <x:c r="D11" s="14" t="str">
        <x:v>黄忠</x:v>
      </x:c>
      <x:c r="E11" s="14" t="str">
        <x:v>所列成员上阵</x:v>
      </x:c>
      <x:c r="F11" s="14" t="str">
        <x:v>百步穿杨有50%概率暴击，伤害变为原来的200%。</x:v>
      </x:c>
      <x:c r="G11" s="14" t="str">
        <x:v>常规联动</x:v>
      </x:c>
    </x:row>
    <x:row r="12" ht="48" customHeight="1">
      <x:c r="A12" s="42" t="str">
        <x:v>人物羁绊</x:v>
      </x:c>
      <x:c r="B12" s="42" t="str">
        <x:v>飞火流星</x:v>
      </x:c>
      <x:c r="C12" s="14" t="str">
        <x:v>黄忠、魏延</x:v>
      </x:c>
      <x:c r="D12" s="14" t="str">
        <x:v>魏延</x:v>
      </x:c>
      <x:c r="E12" s="14" t="str">
        <x:v>所列成员上阵</x:v>
      </x:c>
      <x:c r="F12" s="14" t="str">
        <x:v>使黄忠的百步穿杨获得50%概率的200%暴击。</x:v>
      </x:c>
      <x:c r="G12" s="14" t="str">
        <x:v>常规联动</x:v>
      </x:c>
    </x:row>
    <x:row r="13" ht="48" customHeight="1">
      <x:c r="A13" s="42" t="str">
        <x:v>人物羁绊</x:v>
      </x:c>
      <x:c r="B13" s="42" t="str">
        <x:v>鬼神权倾</x:v>
      </x:c>
      <x:c r="C13" s="14" t="str">
        <x:v>吕布、貂蝉、董卓</x:v>
      </x:c>
      <x:c r="D13" s="14" t="str">
        <x:v>貂蝉</x:v>
      </x:c>
      <x:c r="E13" s="14" t="str">
        <x:v>所列成员上阵</x:v>
      </x:c>
      <x:c r="F13" s="14" t="str">
        <x:v>魅惑持续时间提高50%，由1.5秒变为2.25秒。</x:v>
      </x:c>
      <x:c r="G13" s="14" t="str">
        <x:v>常规联动</x:v>
      </x:c>
    </x:row>
    <x:row r="14" ht="48" customHeight="1">
      <x:c r="A14" s="42" t="str">
        <x:v>人物羁绊</x:v>
      </x:c>
      <x:c r="B14" s="42" t="str">
        <x:v>鬼神权倾</x:v>
      </x:c>
      <x:c r="C14" s="14" t="str">
        <x:v>吕布、貂蝉、董卓</x:v>
      </x:c>
      <x:c r="D14" s="14" t="str">
        <x:v>董卓</x:v>
      </x:c>
      <x:c r="E14" s="14" t="str">
        <x:v>所列成员上阵</x:v>
      </x:c>
      <x:c r="F14" s="14" t="str">
        <x:v>当前生命追加比例由6%提高至12%，并在开场获得2秒致死保护。</x:v>
      </x:c>
      <x:c r="G14" s="14" t="str">
        <x:v>高影响机制，需重点实测</x:v>
      </x:c>
    </x:row>
    <x:row r="15" ht="48" customHeight="1">
      <x:c r="A15" s="42" t="str">
        <x:v>人物羁绊</x:v>
      </x:c>
      <x:c r="B15" s="42" t="str">
        <x:v>鬼神权倾</x:v>
      </x:c>
      <x:c r="C15" s="14" t="str">
        <x:v>吕布、貂蝉、董卓</x:v>
      </x:c>
      <x:c r="D15" s="14" t="str">
        <x:v>吕布</x:v>
      </x:c>
      <x:c r="E15" s="14" t="str">
        <x:v>所列成员上阵</x:v>
      </x:c>
      <x:c r="F15" s="14" t="str">
        <x:v>释放无双横扫后获得4秒致死保护。</x:v>
      </x:c>
      <x:c r="G15" s="14" t="str">
        <x:v>高影响机制，需重点实测</x:v>
      </x:c>
    </x:row>
    <x:row r="16" ht="48" customHeight="1">
      <x:c r="A16" s="42" t="str">
        <x:v>人物羁绊</x:v>
      </x:c>
      <x:c r="B16" s="42" t="str">
        <x:v>河北四庭柱</x:v>
      </x:c>
      <x:c r="C16" s="14" t="str">
        <x:v>颜良、文丑、群张郃、高览</x:v>
      </x:c>
      <x:c r="D16" s="14" t="str">
        <x:v>高览</x:v>
      </x:c>
      <x:c r="E16" s="14" t="str">
        <x:v>所列成员上阵</x:v>
      </x:c>
      <x:c r="F16" s="14" t="str">
        <x:v>开场获得1层紫幕，抵挡下一次主动技能。</x:v>
      </x:c>
      <x:c r="G16" s="14" t="str">
        <x:v>常规联动</x:v>
      </x:c>
    </x:row>
    <x:row r="17" ht="48" customHeight="1">
      <x:c r="A17" s="42" t="str">
        <x:v>人物羁绊</x:v>
      </x:c>
      <x:c r="B17" s="42" t="str">
        <x:v>河北四庭柱</x:v>
      </x:c>
      <x:c r="C17" s="14" t="str">
        <x:v>颜良、文丑、群张郃、高览</x:v>
      </x:c>
      <x:c r="D17" s="14" t="str">
        <x:v>群张郃</x:v>
      </x:c>
      <x:c r="E17" s="14" t="str">
        <x:v>所列成员上阵</x:v>
      </x:c>
      <x:c r="F17" s="14" t="str">
        <x:v>开场获得1层紫幕；主动还能为同列友军补充1层。</x:v>
      </x:c>
      <x:c r="G17" s="14" t="str">
        <x:v>常规联动</x:v>
      </x:c>
    </x:row>
    <x:row r="18" ht="48" customHeight="1">
      <x:c r="A18" s="42" t="str">
        <x:v>人物羁绊</x:v>
      </x:c>
      <x:c r="B18" s="42" t="str">
        <x:v>河北四庭柱</x:v>
      </x:c>
      <x:c r="C18" s="14" t="str">
        <x:v>颜良、文丑、群张郃、高览</x:v>
      </x:c>
      <x:c r="D18" s="14" t="str">
        <x:v>文丑</x:v>
      </x:c>
      <x:c r="E18" s="14" t="str">
        <x:v>所列成员上阵</x:v>
      </x:c>
      <x:c r="F18" s="14" t="str">
        <x:v>开场获得1层紫幕，且指向技能有35%概率反弹60%伤害。</x:v>
      </x:c>
      <x:c r="G18" s="14" t="str">
        <x:v>高影响机制，需重点实测</x:v>
      </x:c>
    </x:row>
    <x:row r="19" ht="48" customHeight="1">
      <x:c r="A19" s="42" t="str">
        <x:v>人物羁绊</x:v>
      </x:c>
      <x:c r="B19" s="42" t="str">
        <x:v>河北四庭柱</x:v>
      </x:c>
      <x:c r="C19" s="14" t="str">
        <x:v>颜良、文丑、群张郃、高览</x:v>
      </x:c>
      <x:c r="D19" s="14" t="str">
        <x:v>颜良</x:v>
      </x:c>
      <x:c r="E19" s="14" t="str">
        <x:v>所列成员上阵</x:v>
      </x:c>
      <x:c r="F19" s="14" t="str">
        <x:v>开场获得1层紫幕，抵挡下一次主动技能。</x:v>
      </x:c>
      <x:c r="G19" s="14" t="str">
        <x:v>常规联动</x:v>
      </x:c>
    </x:row>
    <x:row r="20" ht="48" customHeight="1">
      <x:c r="A20" s="42" t="str">
        <x:v>人物羁绊</x:v>
      </x:c>
      <x:c r="B20" s="42" t="str">
        <x:v>护主双壁</x:v>
      </x:c>
      <x:c r="C20" s="14" t="str">
        <x:v>曹操、典韦、许褚</x:v>
      </x:c>
      <x:c r="D20" s="14" t="str">
        <x:v>曹操</x:v>
      </x:c>
      <x:c r="E20" s="14" t="str">
        <x:v>所列成员上阵</x:v>
      </x:c>
      <x:c r="F20" s="14" t="str">
        <x:v>受到超过8%最大生命的单次伤害时，护卫承担25%并获得20%行动条。</x:v>
      </x:c>
      <x:c r="G20" s="14" t="str">
        <x:v>常规联动</x:v>
      </x:c>
    </x:row>
    <x:row r="21" ht="48" customHeight="1">
      <x:c r="A21" s="42" t="str">
        <x:v>人物羁绊</x:v>
      </x:c>
      <x:c r="B21" s="42" t="str">
        <x:v>护主双壁</x:v>
      </x:c>
      <x:c r="C21" s="14" t="str">
        <x:v>曹操、典韦、许褚</x:v>
      </x:c>
      <x:c r="D21" s="14" t="str">
        <x:v>典韦</x:v>
      </x:c>
      <x:c r="E21" s="14" t="str">
        <x:v>所列成员上阵</x:v>
      </x:c>
      <x:c r="F21" s="14" t="str">
        <x:v>曹操受重击时可替其承担25%伤害，并获得20%行动条。</x:v>
      </x:c>
      <x:c r="G21" s="14" t="str">
        <x:v>常规联动</x:v>
      </x:c>
    </x:row>
    <x:row r="22" ht="48" customHeight="1">
      <x:c r="A22" s="42" t="str">
        <x:v>人物羁绊</x:v>
      </x:c>
      <x:c r="B22" s="42" t="str">
        <x:v>护主双壁</x:v>
      </x:c>
      <x:c r="C22" s="14" t="str">
        <x:v>曹操、典韦、许褚</x:v>
      </x:c>
      <x:c r="D22" s="14" t="str">
        <x:v>许褚</x:v>
      </x:c>
      <x:c r="E22" s="14" t="str">
        <x:v>所列成员上阵</x:v>
      </x:c>
      <x:c r="F22" s="14" t="str">
        <x:v>曹操受重击时可替其承担25%伤害，并获得20%行动条。</x:v>
      </x:c>
      <x:c r="G22" s="14" t="str">
        <x:v>常规联动</x:v>
      </x:c>
    </x:row>
    <x:row r="23" ht="48" customHeight="1">
      <x:c r="A23" s="42" t="str">
        <x:v>人物羁绊</x:v>
      </x:c>
      <x:c r="B23" s="42" t="str">
        <x:v>江东双姝</x:v>
      </x:c>
      <x:c r="C23" s="14" t="str">
        <x:v>大乔、小乔</x:v>
      </x:c>
      <x:c r="D23" s="14" t="str">
        <x:v>大乔</x:v>
      </x:c>
      <x:c r="E23" s="14" t="str">
        <x:v>所列成员上阵</x:v>
      </x:c>
      <x:c r="F23" s="14" t="str">
        <x:v>治疗量提高50%，并追加1次65%效果的治疗。</x:v>
      </x:c>
      <x:c r="G23" s="14" t="str">
        <x:v>常规联动</x:v>
      </x:c>
    </x:row>
    <x:row r="24" ht="48" customHeight="1">
      <x:c r="A24" s="42" t="str">
        <x:v>人物羁绊</x:v>
      </x:c>
      <x:c r="B24" s="42" t="str">
        <x:v>江东双姝</x:v>
      </x:c>
      <x:c r="C24" s="14" t="str">
        <x:v>大乔、小乔</x:v>
      </x:c>
      <x:c r="D24" s="14" t="str">
        <x:v>小乔</x:v>
      </x:c>
      <x:c r="E24" s="14" t="str">
        <x:v>所列成员上阵</x:v>
      </x:c>
      <x:c r="F24" s="14" t="str">
        <x:v>控制持续时间提高50%。</x:v>
      </x:c>
      <x:c r="G24" s="14" t="str">
        <x:v>常规联动</x:v>
      </x:c>
    </x:row>
    <x:row r="25" ht="48" customHeight="1">
      <x:c r="A25" s="42" t="str">
        <x:v>人物羁绊</x:v>
      </x:c>
      <x:c r="B25" s="42" t="str">
        <x:v>南蛮夫妇</x:v>
      </x:c>
      <x:c r="C25" s="14" t="str">
        <x:v>孟获、祝融</x:v>
      </x:c>
      <x:c r="D25" s="14" t="str">
        <x:v>孟获</x:v>
      </x:c>
      <x:c r="E25" s="14" t="str">
        <x:v>所列成员上阵</x:v>
      </x:c>
      <x:c r="F25" s="14" t="str">
        <x:v>控制持续时间提高40%。</x:v>
      </x:c>
      <x:c r="G25" s="14" t="str">
        <x:v>常规联动</x:v>
      </x:c>
    </x:row>
    <x:row r="26" ht="48" customHeight="1">
      <x:c r="A26" s="42" t="str">
        <x:v>人物羁绊</x:v>
      </x:c>
      <x:c r="B26" s="42" t="str">
        <x:v>南蛮夫妇</x:v>
      </x:c>
      <x:c r="C26" s="14" t="str">
        <x:v>孟获、祝融</x:v>
      </x:c>
      <x:c r="D26" s="14" t="str">
        <x:v>祝融</x:v>
      </x:c>
      <x:c r="E26" s="14" t="str">
        <x:v>所列成员上阵</x:v>
      </x:c>
      <x:c r="F26" s="14" t="str">
        <x:v>灼烧每秒伤害提高50%。</x:v>
      </x:c>
      <x:c r="G26" s="14" t="str">
        <x:v>常规联动</x:v>
      </x:c>
    </x:row>
    <x:row r="27" ht="48" customHeight="1">
      <x:c r="A27" s="42" t="str">
        <x:v>人物羁绊</x:v>
      </x:c>
      <x:c r="B27" s="42" t="str">
        <x:v>七进七出</x:v>
      </x:c>
      <x:c r="C27" s="14" t="str">
        <x:v>赵云、刘禅</x:v>
      </x:c>
      <x:c r="D27" s="14" t="str">
        <x:v>刘禅</x:v>
      </x:c>
      <x:c r="E27" s="14" t="str">
        <x:v>所列成员上阵</x:v>
      </x:c>
      <x:c r="F27" s="14" t="str">
        <x:v>蜀主鼓舞的目标额外获得30%全能吸血，造成任意伤害均可回复自身。</x:v>
      </x:c>
      <x:c r="G27" s="14" t="str">
        <x:v>常规联动</x:v>
      </x:c>
    </x:row>
    <x:row r="28" ht="48" customHeight="1">
      <x:c r="A28" s="42" t="str">
        <x:v>人物羁绊</x:v>
      </x:c>
      <x:c r="B28" s="42" t="str">
        <x:v>七进七出</x:v>
      </x:c>
      <x:c r="C28" s="14" t="str">
        <x:v>赵云、刘禅</x:v>
      </x:c>
      <x:c r="D28" s="14" t="str">
        <x:v>赵云</x:v>
      </x:c>
      <x:c r="E28" s="14" t="str">
        <x:v>所列成员上阵</x:v>
      </x:c>
      <x:c r="F28" s="14" t="str">
        <x:v>无视军种射程，龙胆固定优先选择敌方后排低血目标。</x:v>
      </x:c>
      <x:c r="G28" s="14" t="str">
        <x:v>常规联动</x:v>
      </x:c>
    </x:row>
    <x:row r="29" ht="48" customHeight="1">
      <x:c r="A29" s="42" t="str">
        <x:v>人物羁绊</x:v>
      </x:c>
      <x:c r="B29" s="42" t="str">
        <x:v>孙氏之志</x:v>
      </x:c>
      <x:c r="C29" s="14" t="str">
        <x:v>孙坚、孙策、孙权、孙尚香</x:v>
      </x:c>
      <x:c r="D29" s="14" t="str">
        <x:v>孙策</x:v>
      </x:c>
      <x:c r="E29" s="14" t="str">
        <x:v>所列成员上阵</x:v>
      </x:c>
      <x:c r="F29" s="14" t="str">
        <x:v>阵亡时触发孙氏传承。</x:v>
      </x:c>
      <x:c r="G29" s="14" t="str">
        <x:v>常规联动</x:v>
      </x:c>
    </x:row>
    <x:row r="30" ht="48" customHeight="1">
      <x:c r="A30" s="42" t="str">
        <x:v>人物羁绊</x:v>
      </x:c>
      <x:c r="B30" s="42" t="str">
        <x:v>孙氏之志</x:v>
      </x:c>
      <x:c r="C30" s="14" t="str">
        <x:v>孙坚、孙策、孙权、孙尚香</x:v>
      </x:c>
      <x:c r="D30" s="14" t="str">
        <x:v>孙坚</x:v>
      </x:c>
      <x:c r="E30" s="14" t="str">
        <x:v>所列成员上阵</x:v>
      </x:c>
      <x:c r="F30" s="14" t="str">
        <x:v>阵亡时触发孙氏传承。</x:v>
      </x:c>
      <x:c r="G30" s="14" t="str">
        <x:v>常规联动</x:v>
      </x:c>
    </x:row>
    <x:row r="31" ht="48" customHeight="1">
      <x:c r="A31" s="42" t="str">
        <x:v>人物羁绊</x:v>
      </x:c>
      <x:c r="B31" s="42" t="str">
        <x:v>孙氏之志</x:v>
      </x:c>
      <x:c r="C31" s="14" t="str">
        <x:v>孙坚、孙策、孙权、孙尚香</x:v>
      </x:c>
      <x:c r="D31" s="14" t="str">
        <x:v>孙权</x:v>
      </x:c>
      <x:c r="E31" s="14" t="str">
        <x:v>所列成员上阵</x:v>
      </x:c>
      <x:c r="F31" s="14" t="str">
        <x:v>任一孙氏成员阵亡时获得30%行动条。</x:v>
      </x:c>
      <x:c r="G31" s="14" t="str">
        <x:v>常规联动</x:v>
      </x:c>
    </x:row>
    <x:row r="32" ht="48" customHeight="1">
      <x:c r="A32" s="42" t="str">
        <x:v>人物羁绊</x:v>
      </x:c>
      <x:c r="B32" s="42" t="str">
        <x:v>孙氏之志</x:v>
      </x:c>
      <x:c r="C32" s="14" t="str">
        <x:v>孙坚、孙策、孙权、孙尚香</x:v>
      </x:c>
      <x:c r="D32" s="14" t="str">
        <x:v>孙尚香</x:v>
      </x:c>
      <x:c r="E32" s="14" t="str">
        <x:v>所列成员上阵</x:v>
      </x:c>
      <x:c r="F32" s="14" t="str">
        <x:v>任一孙氏成员阵亡时立即将行动条充满。</x:v>
      </x:c>
      <x:c r="G32" s="14" t="str">
        <x:v>高影响机制，需重点实测</x:v>
      </x:c>
    </x:row>
    <x:row r="33" ht="48" customHeight="1">
      <x:c r="A33" s="42" t="str">
        <x:v>人物羁绊</x:v>
      </x:c>
      <x:c r="B33" s="42" t="str">
        <x:v>桃园结义</x:v>
      </x:c>
      <x:c r="C33" s="14" t="str">
        <x:v>刘备、关羽、张飞</x:v>
      </x:c>
      <x:c r="D33" s="14" t="str">
        <x:v>关羽</x:v>
      </x:c>
      <x:c r="E33" s="14" t="str">
        <x:v>所列成员上阵</x:v>
      </x:c>
      <x:c r="F33" s="14" t="str">
        <x:v>整列斩由200%攻击提高为300%攻击。</x:v>
      </x:c>
      <x:c r="G33" s="14" t="str">
        <x:v>常规联动</x:v>
      </x:c>
    </x:row>
    <x:row r="34" ht="48" customHeight="1">
      <x:c r="A34" s="42" t="str">
        <x:v>人物羁绊</x:v>
      </x:c>
      <x:c r="B34" s="42" t="str">
        <x:v>桃园结义</x:v>
      </x:c>
      <x:c r="C34" s="14" t="str">
        <x:v>刘备、关羽、张飞</x:v>
      </x:c>
      <x:c r="D34" s="14" t="str">
        <x:v>刘备</x:v>
      </x:c>
      <x:c r="E34" s="14" t="str">
        <x:v>所列成员上阵</x:v>
      </x:c>
      <x:c r="F34" s="14" t="str">
        <x:v>持续治疗由每秒200%攻击提高为300%攻击。</x:v>
      </x:c>
      <x:c r="G34" s="14" t="str">
        <x:v>常规联动</x:v>
      </x:c>
    </x:row>
    <x:row r="35" ht="48" customHeight="1">
      <x:c r="A35" s="42" t="str">
        <x:v>人物羁绊</x:v>
      </x:c>
      <x:c r="B35" s="42" t="str">
        <x:v>桃园结义</x:v>
      </x:c>
      <x:c r="C35" s="14" t="str">
        <x:v>刘备、关羽、张飞</x:v>
      </x:c>
      <x:c r="D35" s="14" t="str">
        <x:v>张飞</x:v>
      </x:c>
      <x:c r="E35" s="14" t="str">
        <x:v>所列成员上阵</x:v>
      </x:c>
      <x:c r="F35" s="14" t="str">
        <x:v>前排增伤期间额外获得20%减伤。</x:v>
      </x:c>
      <x:c r="G35" s="14" t="str">
        <x:v>常规联动</x:v>
      </x:c>
    </x:row>
    <x:row r="36" ht="48" customHeight="1">
      <x:c r="A36" s="42" t="str">
        <x:v>人物羁绊</x:v>
      </x:c>
      <x:c r="B36" s="42" t="str">
        <x:v>天道</x:v>
      </x:c>
      <x:c r="C36" s="14" t="str">
        <x:v>于吉、张角</x:v>
      </x:c>
      <x:c r="D36" s="14" t="str">
        <x:v>于吉</x:v>
      </x:c>
      <x:c r="E36" s="14" t="str">
        <x:v>所列成员上阵</x:v>
      </x:c>
      <x:c r="F36" s="14" t="str">
        <x:v>友军阵亡时有65%概率对随机敌人降下60%攻击天雷。</x:v>
      </x:c>
      <x:c r="G36" s="14" t="str">
        <x:v>常规联动</x:v>
      </x:c>
    </x:row>
    <x:row r="37" ht="48" customHeight="1">
      <x:c r="A37" s="42" t="str">
        <x:v>人物羁绊</x:v>
      </x:c>
      <x:c r="B37" s="42" t="str">
        <x:v>天道</x:v>
      </x:c>
      <x:c r="C37" s="14" t="str">
        <x:v>于吉、张角</x:v>
      </x:c>
      <x:c r="D37" s="14" t="str">
        <x:v>张角</x:v>
      </x:c>
      <x:c r="E37" s="14" t="str">
        <x:v>所列成员上阵</x:v>
      </x:c>
      <x:c r="F37" s="14" t="str">
        <x:v>友军阵亡时有65%概率对随机敌人降下60%攻击天雷。</x:v>
      </x:c>
      <x:c r="G37" s="14" t="str">
        <x:v>常规联动</x:v>
      </x:c>
    </x:row>
    <x:row r="38" ht="48" customHeight="1">
      <x:c r="A38" s="42" t="str">
        <x:v>人物羁绊</x:v>
      </x:c>
      <x:c r="B38" s="42" t="str">
        <x:v>魏谋双星</x:v>
      </x:c>
      <x:c r="C38" s="14" t="str">
        <x:v>司马懿、郭嘉</x:v>
      </x:c>
      <x:c r="D38" s="14" t="str">
        <x:v>郭嘉</x:v>
      </x:c>
      <x:c r="E38" s="14" t="str">
        <x:v>所列成员上阵</x:v>
      </x:c>
      <x:c r="F38" s="14" t="str">
        <x:v>控制持续时间提高45%。</x:v>
      </x:c>
      <x:c r="G38" s="14" t="str">
        <x:v>常规联动</x:v>
      </x:c>
    </x:row>
    <x:row r="39" ht="48" customHeight="1">
      <x:c r="A39" s="42" t="str">
        <x:v>人物羁绊</x:v>
      </x:c>
      <x:c r="B39" s="42" t="str">
        <x:v>魏谋双星</x:v>
      </x:c>
      <x:c r="C39" s="14" t="str">
        <x:v>司马懿、郭嘉</x:v>
      </x:c>
      <x:c r="D39" s="14" t="str">
        <x:v>司马懿</x:v>
      </x:c>
      <x:c r="E39" s="14" t="str">
        <x:v>所列成员上阵</x:v>
      </x:c>
      <x:c r="F39" s="14" t="str">
        <x:v>主动技能额外增加1道雷击。</x:v>
      </x:c>
      <x:c r="G39" s="14" t="str">
        <x:v>常规联动</x:v>
      </x:c>
    </x:row>
    <x:row r="40" ht="48" customHeight="1">
      <x:c r="A40" s="42" t="str">
        <x:v>人物羁绊</x:v>
      </x:c>
      <x:c r="B40" s="42" t="str">
        <x:v>卧龙凤雏</x:v>
      </x:c>
      <x:c r="C40" s="14" t="str">
        <x:v>诸葛亮、庞统</x:v>
      </x:c>
      <x:c r="D40" s="14" t="str">
        <x:v>庞统</x:v>
      </x:c>
      <x:c r="E40" s="14" t="str">
        <x:v>所列成员上阵</x:v>
      </x:c>
      <x:c r="F40" s="14" t="str">
        <x:v>控制持续时间提高50%。</x:v>
      </x:c>
      <x:c r="G40" s="14" t="str">
        <x:v>常规联动</x:v>
      </x:c>
    </x:row>
    <x:row r="41" ht="48" customHeight="1">
      <x:c r="A41" s="42" t="str">
        <x:v>人物羁绊</x:v>
      </x:c>
      <x:c r="B41" s="42" t="str">
        <x:v>卧龙凤雏</x:v>
      </x:c>
      <x:c r="C41" s="14" t="str">
        <x:v>诸葛亮、庞统</x:v>
      </x:c>
      <x:c r="D41" s="14" t="str">
        <x:v>诸葛亮</x:v>
      </x:c>
      <x:c r="E41" s="14" t="str">
        <x:v>所列成员上阵</x:v>
      </x:c>
      <x:c r="F41" s="14" t="str">
        <x:v>谋略标记持续时间增加，并强化与庞统控制的爆炸传导。</x:v>
      </x:c>
      <x:c r="G41" s="14" t="str">
        <x:v>常规联动</x:v>
      </x:c>
    </x:row>
    <x:row r="42" ht="48" customHeight="1">
      <x:c r="A42" s="42" t="str">
        <x:v>人物羁绊</x:v>
      </x:c>
      <x:c r="B42" s="42" t="str">
        <x:v>卧龙辅汉</x:v>
      </x:c>
      <x:c r="C42" s="14" t="str">
        <x:v>刘备、诸葛亮</x:v>
      </x:c>
      <x:c r="D42" s="14" t="str">
        <x:v>刘备</x:v>
      </x:c>
      <x:c r="E42" s="14" t="str">
        <x:v>所列成员上阵</x:v>
      </x:c>
      <x:c r="F42" s="14" t="str">
        <x:v>持续治疗中的目标受到的法术伤害降低20%。</x:v>
      </x:c>
      <x:c r="G42" s="14" t="str">
        <x:v>常规联动</x:v>
      </x:c>
    </x:row>
    <x:row r="43" ht="48" customHeight="1">
      <x:c r="A43" s="42" t="str">
        <x:v>人物羁绊</x:v>
      </x:c>
      <x:c r="B43" s="42" t="str">
        <x:v>五虎上将</x:v>
      </x:c>
      <x:c r="C43" s="14" t="str">
        <x:v>关羽、张飞、赵云、黄忠、马超</x:v>
      </x:c>
      <x:c r="D43" s="14" t="str">
        <x:v>关羽</x:v>
      </x:c>
      <x:c r="E43" s="14" t="str">
        <x:v>所列成员上阵</x:v>
      </x:c>
      <x:c r="F43" s="14" t="str">
        <x:v>技能实际伤害的20%回复自身生命。</x:v>
      </x:c>
      <x:c r="G43" s="14" t="str">
        <x:v>常规联动</x:v>
      </x:c>
    </x:row>
    <x:row r="44" ht="48" customHeight="1">
      <x:c r="A44" s="42" t="str">
        <x:v>人物羁绊</x:v>
      </x:c>
      <x:c r="B44" s="42" t="str">
        <x:v>五虎上将</x:v>
      </x:c>
      <x:c r="C44" s="14" t="str">
        <x:v>关羽、张飞、赵云、黄忠、马超</x:v>
      </x:c>
      <x:c r="D44" s="14" t="str">
        <x:v>黄忠</x:v>
      </x:c>
      <x:c r="E44" s="14" t="str">
        <x:v>所列成员上阵</x:v>
      </x:c>
      <x:c r="F44" s="14" t="str">
        <x:v>大招固定选择敌方前排格，伤害由200%提高至500%攻击。</x:v>
      </x:c>
      <x:c r="G44" s="14" t="str">
        <x:v>高影响机制，需重点实测</x:v>
      </x:c>
    </x:row>
    <x:row r="45" ht="48" customHeight="1">
      <x:c r="A45" s="42" t="str">
        <x:v>人物羁绊</x:v>
      </x:c>
      <x:c r="B45" s="42" t="str">
        <x:v>五虎上将</x:v>
      </x:c>
      <x:c r="C45" s="14" t="str">
        <x:v>关羽、张飞、赵云、黄忠、马超</x:v>
      </x:c>
      <x:c r="D45" s="14" t="str">
        <x:v>马超</x:v>
      </x:c>
      <x:c r="E45" s="14" t="str">
        <x:v>所列成员上阵</x:v>
      </x:c>
      <x:c r="F45" s="14" t="str">
        <x:v>突骑命中后的行动条返还由12%提高至30%。</x:v>
      </x:c>
      <x:c r="G45" s="14" t="str">
        <x:v>常规联动</x:v>
      </x:c>
    </x:row>
    <x:row r="46" ht="48" customHeight="1">
      <x:c r="A46" s="42" t="str">
        <x:v>人物羁绊</x:v>
      </x:c>
      <x:c r="B46" s="42" t="str">
        <x:v>五虎上将</x:v>
      </x:c>
      <x:c r="C46" s="14" t="str">
        <x:v>关羽、张飞、赵云、黄忠、马超</x:v>
      </x:c>
      <x:c r="D46" s="14" t="str">
        <x:v>张飞</x:v>
      </x:c>
      <x:c r="E46" s="14" t="str">
        <x:v>所列成员上阵</x:v>
      </x:c>
      <x:c r="F46" s="14" t="str">
        <x:v>前排号令持续时间由3秒延长至6秒。</x:v>
      </x:c>
      <x:c r="G46" s="14" t="str">
        <x:v>常规联动</x:v>
      </x:c>
    </x:row>
    <x:row r="47" ht="48" customHeight="1">
      <x:c r="A47" s="42" t="str">
        <x:v>人物羁绊</x:v>
      </x:c>
      <x:c r="B47" s="42" t="str">
        <x:v>五虎上将</x:v>
      </x:c>
      <x:c r="C47" s="14" t="str">
        <x:v>关羽、张飞、赵云、黄忠、马超</x:v>
      </x:c>
      <x:c r="D47" s="14" t="str">
        <x:v>赵云</x:v>
      </x:c>
      <x:c r="E47" s="14" t="str">
        <x:v>所列成员上阵</x:v>
      </x:c>
      <x:c r="F47" s="14" t="str">
        <x:v>龙胆伤害由300%提高至500%攻击，释放后减伤由30%提高至50%，持续3秒。</x:v>
      </x:c>
      <x:c r="G47" s="14" t="str">
        <x:v>高影响机制，需重点实测</x:v>
      </x:c>
    </x:row>
    <x:row r="48" ht="48" customHeight="1">
      <x:c r="A48" s="42" t="str">
        <x:v>人物羁绊</x:v>
      </x:c>
      <x:c r="B48" s="42" t="str">
        <x:v>五子良将</x:v>
      </x:c>
      <x:c r="C48" s="14" t="str">
        <x:v>张辽、乐进、张郃、徐晃、于禁</x:v>
      </x:c>
      <x:c r="D48" s="14" t="str">
        <x:v>乐进</x:v>
      </x:c>
      <x:c r="E48" s="14" t="str">
        <x:v>所列成员上阵</x:v>
      </x:c>
      <x:c r="F48" s="14" t="str">
        <x:v>3人时裂箭+1支，5人时裂箭+2支。</x:v>
      </x:c>
      <x:c r="G48" s="14" t="str">
        <x:v>常规联动</x:v>
      </x:c>
    </x:row>
    <x:row r="49" ht="48" customHeight="1">
      <x:c r="A49" s="42" t="str">
        <x:v>人物羁绊</x:v>
      </x:c>
      <x:c r="B49" s="42" t="str">
        <x:v>五子良将</x:v>
      </x:c>
      <x:c r="C49" s="14" t="str">
        <x:v>张辽、乐进、张郃、徐晃、于禁</x:v>
      </x:c>
      <x:c r="D49" s="14" t="str">
        <x:v>徐晃</x:v>
      </x:c>
      <x:c r="E49" s="14" t="str">
        <x:v>所列成员上阵</x:v>
      </x:c>
      <x:c r="F49" s="14" t="str">
        <x:v>3人时控制时长+10%，5人时+25%。</x:v>
      </x:c>
      <x:c r="G49" s="14" t="str">
        <x:v>常规联动</x:v>
      </x:c>
    </x:row>
    <x:row r="50" ht="48" customHeight="1">
      <x:c r="A50" s="42" t="str">
        <x:v>人物羁绊</x:v>
      </x:c>
      <x:c r="B50" s="42" t="str">
        <x:v>五子良将</x:v>
      </x:c>
      <x:c r="C50" s="14" t="str">
        <x:v>张辽、乐进、张郃、徐晃、于禁</x:v>
      </x:c>
      <x:c r="D50" s="14" t="str">
        <x:v>于禁</x:v>
      </x:c>
      <x:c r="E50" s="14" t="str">
        <x:v>所列成员上阵</x:v>
      </x:c>
      <x:c r="F50" s="14" t="str">
        <x:v>护卫的后排单位参与五子接力。</x:v>
      </x:c>
      <x:c r="G50" s="14" t="str">
        <x:v>常规联动</x:v>
      </x:c>
    </x:row>
    <x:row r="51" ht="48" customHeight="1">
      <x:c r="A51" s="42" t="str">
        <x:v>人物羁绊</x:v>
      </x:c>
      <x:c r="B51" s="42" t="str">
        <x:v>五子良将</x:v>
      </x:c>
      <x:c r="C51" s="14" t="str">
        <x:v>张辽、乐进、张郃、徐晃、于禁</x:v>
      </x:c>
      <x:c r="D51" s="14" t="str">
        <x:v>张郃</x:v>
      </x:c>
      <x:c r="E51" s="14" t="str">
        <x:v>所列成员上阵</x:v>
      </x:c>
      <x:c r="F51" s="14" t="str">
        <x:v>受控目标进入五子集火链。</x:v>
      </x:c>
      <x:c r="G51" s="14" t="str">
        <x:v>常规联动</x:v>
      </x:c>
    </x:row>
    <x:row r="52" ht="48" customHeight="1">
      <x:c r="A52" s="42" t="str">
        <x:v>人物羁绊</x:v>
      </x:c>
      <x:c r="B52" s="42" t="str">
        <x:v>五子良将</x:v>
      </x:c>
      <x:c r="C52" s="14" t="str">
        <x:v>张辽、乐进、张郃、徐晃、于禁</x:v>
      </x:c>
      <x:c r="D52" s="14" t="str">
        <x:v>张辽</x:v>
      </x:c>
      <x:c r="E52" s="14" t="str">
        <x:v>所列成员上阵</x:v>
      </x:c>
      <x:c r="F52" s="14" t="str">
        <x:v>破阵技能参与五子控制接力。</x:v>
      </x:c>
      <x:c r="G52" s="14" t="str">
        <x:v>常规联动</x:v>
      </x:c>
    </x:row>
    <x:row r="53" ht="48" customHeight="1">
      <x:c r="A53" s="42" t="str">
        <x:v>人物羁绊</x:v>
      </x:c>
      <x:c r="B53" s="42" t="str">
        <x:v>夜梦北斗</x:v>
      </x:c>
      <x:c r="C53" s="14" t="str">
        <x:v>刘备、刘禅</x:v>
      </x:c>
      <x:c r="D53" s="14" t="str">
        <x:v>刘备</x:v>
      </x:c>
      <x:c r="E53" s="14" t="str">
        <x:v>所列成员上阵</x:v>
      </x:c>
      <x:c r="F53" s="14" t="str">
        <x:v>持续治疗由6秒延长50%至9秒。</x:v>
      </x:c>
      <x:c r="G53" s="14" t="str">
        <x:v>常规联动</x:v>
      </x:c>
    </x:row>
    <x:row r="54" ht="48" customHeight="1">
      <x:c r="A54" s="42" t="str">
        <x:v>人物羁绊</x:v>
      </x:c>
      <x:c r="B54" s="42" t="str">
        <x:v>夜梦北斗</x:v>
      </x:c>
      <x:c r="C54" s="14" t="str">
        <x:v>刘备、刘禅</x:v>
      </x:c>
      <x:c r="D54" s="14" t="str">
        <x:v>刘禅</x:v>
      </x:c>
      <x:c r="E54" s="14" t="str">
        <x:v>所列成员上阵</x:v>
      </x:c>
      <x:c r="F54" s="14" t="str">
        <x:v>蜀主鼓舞额外作用于同列后排友军。</x:v>
      </x:c>
      <x:c r="G54" s="14" t="str">
        <x:v>常规联动</x:v>
      </x:c>
    </x:row>
    <x:row r="55" ht="48" customHeight="1">
      <x:c r="A55" s="43" t="str">
        <x:v>阵营羁绊</x:v>
      </x:c>
      <x:c r="B55" s="43" t="str">
        <x:v>汉室北伐</x:v>
      </x:c>
      <x:c r="C55" s="14" t="str">
        <x:v>刘备、关羽、张飞、赵云、黄忠、马超、刘禅、诸葛亮、姜维、孟获、祝融、魏延、马岱、庞统</x:v>
      </x:c>
      <x:c r="D55" s="14" t="str">
        <x:v>蜀阵营全体</x:v>
      </x:c>
      <x:c r="E55" s="14" t="str">
        <x:v>3 / 6 / 9 人</x:v>
      </x:c>
      <x:c r="F55" s="14" t="str">
        <x:v>3/6/9人时，本武将主动技能留下接力标记；另一名蜀将消耗后追加40%/50%/60%攻击真实伤害。</x:v>
      </x:c>
      <x:c r="G55" s="14" t="str">
        <x:v>常规联动</x:v>
      </x:c>
    </x:row>
    <x:row r="56" ht="48" customHeight="1">
      <x:c r="A56" s="43" t="str">
        <x:v>阵营羁绊</x:v>
      </x:c>
      <x:c r="B56" s="43" t="str">
        <x:v>江东联动</x:v>
      </x:c>
      <x:c r="C56" s="14" t="str">
        <x:v>周瑜、陆逊、鲁肃、吕蒙、孙坚、孙策、孙权、孙尚香、大乔、小乔、蒋钦、徐盛、甘宁、黄盖</x:v>
      </x:c>
      <x:c r="D56" s="14" t="str">
        <x:v>吴阵营全体</x:v>
      </x:c>
      <x:c r="E56" s="14" t="str">
        <x:v>都督成员联动</x:v>
      </x:c>
      <x:c r="F56" s="14" t="str">
        <x:v>本武将属于都督接力时，释放主动技能会让行动条最低的另一名成员获得20%行动条。</x:v>
      </x:c>
      <x:c r="G56" s="14" t="str">
        <x:v>常规联动</x:v>
      </x:c>
    </x:row>
    <x:row r="57" ht="48" customHeight="1">
      <x:c r="A57" s="43" t="str">
        <x:v>阵营羁绊</x:v>
      </x:c>
      <x:c r="B57" s="43" t="str">
        <x:v>乱世争衡</x:v>
      </x:c>
      <x:c r="C57" s="14" t="str">
        <x:v>吕布、貂蝉、董卓、高顺、陈宫、颜良、文丑、群张郃、高览、华佗、于吉、张角、袁绍、袁术</x:v>
      </x:c>
      <x:c r="D57" s="14" t="str">
        <x:v>群阵营全体</x:v>
      </x:c>
      <x:c r="E57" s="14" t="str">
        <x:v>3 / 6 / 9 人</x:v>
      </x:c>
      <x:c r="F57" s="14" t="str">
        <x:v>3/6/9人时，友军阵亡使本武将获得15%/20%/25%行动条；若由本武将击杀，再额外获得15%。</x:v>
      </x:c>
      <x:c r="G57" s="14" t="str">
        <x:v>常规联动</x:v>
      </x:c>
    </x:row>
    <x:row r="58" ht="48" customHeight="1">
      <x:c r="A58" s="43" t="str">
        <x:v>阵营羁绊</x:v>
      </x:c>
      <x:c r="B58" s="43" t="str">
        <x:v>魏武中枢</x:v>
      </x:c>
      <x:c r="C58" s="14" t="str">
        <x:v>曹操、典韦、许褚、张辽、乐进、张郃、徐晃、于禁、夏侯渊、曹仁、夏侯惇、郭嘉、司马懿、荀彧</x:v>
      </x:c>
      <x:c r="D58" s="14" t="str">
        <x:v>魏阵营全体</x:v>
      </x:c>
      <x:c r="E58" s="14" t="str">
        <x:v>3 / 6 / 9 人</x:v>
      </x:c>
      <x:c r="F58" s="14" t="str">
        <x:v>3/6/9人时，本武将施加控制会留下谋算；下一次魏系技能使目标行动条后退12%/24%/36%。</x:v>
      </x:c>
      <x:c r="G58" s="14" t="str">
        <x:v>常规联动</x:v>
      </x:c>
    </x:row>
  </x:sheetData>
  <x:mergeCells>
    <x:mergeCell ref="A1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2" hidden="0" customWidth="1"/>
    <x:col min="8" max="8" width="12" hidden="0" customWidth="1"/>
  </x:cols>
  <x:sheetData>
    <x:row r="1" ht="48" customHeight="1">
      <x:c r="A1" s="4" t="str">
        <x:v>阵营横向分析
平均分由56名武将明细实时汇总；偏强/偏弱数量引用同一判断阈值。</x:v>
      </x:c>
    </x:row>
    <x:row r="2" ht="48" customHeight="1"/>
    <x:row r="4" ht="30" customHeight="1">
      <x:c r="A4" s="10" t="str">
        <x:v>阵营</x:v>
      </x:c>
      <x:c r="B4" s="10" t="str">
        <x:v>武将数</x:v>
      </x:c>
      <x:c r="C4" s="10" t="str">
        <x:v>平均生命</x:v>
      </x:c>
      <x:c r="D4" s="10" t="str">
        <x:v>平均攻击</x:v>
      </x:c>
      <x:c r="E4" s="10" t="str">
        <x:v>平均读条</x:v>
      </x:c>
      <x:c r="F4" s="10" t="str">
        <x:v>平均综合分</x:v>
      </x:c>
      <x:c r="G4" s="10" t="str">
        <x:v>偏强数</x:v>
      </x:c>
      <x:c r="H4" s="10" t="str">
        <x:v>偏弱数</x:v>
      </x:c>
    </x:row>
    <x:row r="5">
      <x:c r="A5" s="68" t="str">
        <x:v>蜀</x:v>
      </x:c>
      <x:c r="B5" s="14" t="n">
        <x:f>COUNTIF('武将明细'!$D$5:$D$60,A5)</x:f>
        <x:v>14</x:v>
      </x:c>
      <x:c r="C5" s="72" t="n">
        <x:f>AVERAGEIF('武将明细'!$D$5:$D$60,A5,'武将明细'!$F$5:$F$60)</x:f>
        <x:v>1045.7142857142858</x:v>
      </x:c>
      <x:c r="D5" s="72" t="n">
        <x:f>AVERAGEIF('武将明细'!$D$5:$D$60,A5,'武将明细'!$G$5:$G$60)</x:f>
        <x:v>45.357142857142854</x:v>
      </x:c>
      <x:c r="E5" s="72" t="n">
        <x:f>AVERAGEIF('武将明细'!$D$5:$D$60,A5,'武将明细'!$H$5:$H$60)</x:f>
        <x:v>3.0642857142857145</x:v>
      </x:c>
      <x:c r="F5" s="72" t="n">
        <x:f>AVERAGEIF('武将明细'!$D$5:$D$60,A5,'武将明细'!$AA$5:$AA$60)</x:f>
        <x:v>55.452802203065126</x:v>
      </x:c>
      <x:c r="G5" s="14" t="n">
        <x:f>COUNTIFS('武将明细'!$D$5:$D$60,A5,'武将明细'!$AC$5:$AC$60,"偏强")</x:f>
        <x:v>4</x:v>
      </x:c>
      <x:c r="H5" s="14" t="n">
        <x:f>COUNTIFS('武将明细'!$D$5:$D$60,A5,'武将明细'!$AC$5:$AC$60,"偏弱")</x:f>
        <x:v>1</x:v>
      </x:c>
    </x:row>
    <x:row r="6">
      <x:c r="A6" s="69" t="str">
        <x:v>魏</x:v>
      </x:c>
      <x:c r="B6" s="14" t="n">
        <x:f>COUNTIF('武将明细'!$D$5:$D$60,A6)</x:f>
        <x:v>14</x:v>
      </x:c>
      <x:c r="C6" s="72" t="n">
        <x:f>AVERAGEIF('武将明细'!$D$5:$D$60,A6,'武将明细'!$F$5:$F$60)</x:f>
        <x:v>1181.4285714285713</x:v>
      </x:c>
      <x:c r="D6" s="72" t="n">
        <x:f>AVERAGEIF('武将明细'!$D$5:$D$60,A6,'武将明细'!$G$5:$G$60)</x:f>
        <x:v>44.57142857142857</x:v>
      </x:c>
      <x:c r="E6" s="72" t="n">
        <x:f>AVERAGEIF('武将明细'!$D$5:$D$60,A6,'武将明细'!$H$5:$H$60)</x:f>
        <x:v>3.335714285714285</x:v>
      </x:c>
      <x:c r="F6" s="72" t="n">
        <x:f>AVERAGEIF('武将明细'!$D$5:$D$60,A6,'武将明细'!$AA$5:$AA$60)</x:f>
        <x:v>50.64007290311248</x:v>
      </x:c>
      <x:c r="G6" s="14" t="n">
        <x:f>COUNTIFS('武将明细'!$D$5:$D$60,A6,'武将明细'!$AC$5:$AC$60,"偏强")</x:f>
        <x:v>0</x:v>
      </x:c>
      <x:c r="H6" s="14" t="n">
        <x:f>COUNTIFS('武将明细'!$D$5:$D$60,A6,'武将明细'!$AC$5:$AC$60,"偏弱")</x:f>
        <x:v>2</x:v>
      </x:c>
    </x:row>
    <x:row r="7">
      <x:c r="A7" s="70" t="str">
        <x:v>吴</x:v>
      </x:c>
      <x:c r="B7" s="14" t="n">
        <x:f>COUNTIF('武将明细'!$D$5:$D$60,A7)</x:f>
        <x:v>14</x:v>
      </x:c>
      <x:c r="C7" s="72" t="n">
        <x:f>AVERAGEIF('武将明细'!$D$5:$D$60,A7,'武将明细'!$F$5:$F$60)</x:f>
        <x:v>972.8571428571429</x:v>
      </x:c>
      <x:c r="D7" s="72" t="n">
        <x:f>AVERAGEIF('武将明细'!$D$5:$D$60,A7,'武将明细'!$G$5:$G$60)</x:f>
        <x:v>44.142857142857146</x:v>
      </x:c>
      <x:c r="E7" s="72" t="n">
        <x:f>AVERAGEIF('武将明细'!$D$5:$D$60,A7,'武将明细'!$H$5:$H$60)</x:f>
        <x:v>3.3714285714285714</x:v>
      </x:c>
      <x:c r="F7" s="72" t="n">
        <x:f>AVERAGEIF('武将明细'!$D$5:$D$60,A7,'武将明细'!$AA$5:$AA$60)</x:f>
        <x:v>50.968673249052294</x:v>
      </x:c>
      <x:c r="G7" s="14" t="n">
        <x:f>COUNTIFS('武将明细'!$D$5:$D$60,A7,'武将明细'!$AC$5:$AC$60,"偏强")</x:f>
        <x:v>0</x:v>
      </x:c>
      <x:c r="H7" s="14" t="n">
        <x:f>COUNTIFS('武将明细'!$D$5:$D$60,A7,'武将明细'!$AC$5:$AC$60,"偏弱")</x:f>
        <x:v>0</x:v>
      </x:c>
    </x:row>
    <x:row r="8">
      <x:c r="A8" s="71" t="str">
        <x:v>群</x:v>
      </x:c>
      <x:c r="B8" s="14" t="n">
        <x:f>COUNTIF('武将明细'!$D$5:$D$60,A8)</x:f>
        <x:v>14</x:v>
      </x:c>
      <x:c r="C8" s="72" t="n">
        <x:f>AVERAGEIF('武将明细'!$D$5:$D$60,A8,'武将明细'!$F$5:$F$60)</x:f>
        <x:v>1090</x:v>
      </x:c>
      <x:c r="D8" s="72" t="n">
        <x:f>AVERAGEIF('武将明细'!$D$5:$D$60,A8,'武将明细'!$G$5:$G$60)</x:f>
        <x:v>43.357142857142854</x:v>
      </x:c>
      <x:c r="E8" s="72" t="n">
        <x:f>AVERAGEIF('武将明细'!$D$5:$D$60,A8,'武将明细'!$H$5:$H$60)</x:f>
        <x:v>3.3500000000000005</x:v>
      </x:c>
      <x:c r="F8" s="72" t="n">
        <x:f>AVERAGEIF('武将明细'!$D$5:$D$60,A8,'武将明细'!$AA$5:$AA$60)</x:f>
        <x:v>52.16990597748006</x:v>
      </x:c>
      <x:c r="G8" s="14" t="n">
        <x:f>COUNTIFS('武将明细'!$D$5:$D$60,A8,'武将明细'!$AC$5:$AC$60,"偏强")</x:f>
        <x:v>0</x:v>
      </x:c>
      <x:c r="H8" s="14" t="n">
        <x:f>COUNTIFS('武将明细'!$D$5:$D$60,A8,'武将明细'!$AC$5:$AC$60,"偏弱")</x:f>
        <x:v>2</x:v>
      </x:c>
    </x:row>
    <x:row r="11" ht="30" customHeight="1">
      <x:c r="A11" s="10" t="str">
        <x:v>观察项</x:v>
      </x:c>
      <x:c r="B11" s="10" t="str">
        <x:v>结论</x:v>
      </x:c>
      <x:c r="C11" s="10" t="str">
        <x:v>证据/口径</x:v>
      </x:c>
      <x:c r="D11" s="10" t="str">
        <x:v>风险</x:v>
      </x:c>
      <x:c r="E11" s="10" t="str">
        <x:v>优先级</x:v>
      </x:c>
      <x:c r="F11" s="10" t="str">
        <x:v>建议</x:v>
      </x:c>
    </x:row>
    <x:row r="12">
      <x:c r="A12" s="14" t="str">
        <x:v>阵营均值</x:v>
      </x:c>
      <x:c r="B12" s="14" t="str">
        <x:v>查看上表平均综合分差距</x:v>
      </x:c>
      <x:c r="C12" s="14" t="str">
        <x:v>静态评分均值</x:v>
      </x:c>
      <x:c r="D12" s="14" t="str">
        <x:v>羁绊成套后可能放大</x:v>
      </x:c>
      <x:c r="E12" s="14" t="str">
        <x:v>高</x:v>
      </x:c>
      <x:c r="F12" s="14" t="str">
        <x:v>阵营均值差超过5分时做同星镜像对局</x:v>
      </x:c>
    </x:row>
    <x:row r="13">
      <x:c r="A13" s="14" t="str">
        <x:v>蜀</x:v>
      </x:c>
      <x:c r="B13" s="14" t="str">
        <x:v>高治疗、前排增益与五虎爆发</x:v>
      </x:c>
      <x:c r="C13" s="14" t="str">
        <x:v>桃园、五虎、接力追击</x:v>
      </x:c>
      <x:c r="D13" s="14" t="str">
        <x:v>完整羁绊门槛高但上限陡增</x:v>
      </x:c>
      <x:c r="E13" s="14" t="str">
        <x:v>高</x:v>
      </x:c>
      <x:c r="F13" s="14" t="str">
        <x:v>重点验证赵云/黄忠在五虎成套后的峰值</x:v>
      </x:c>
    </x:row>
    <x:row r="14">
      <x:c r="A14" s="14" t="str">
        <x:v>魏</x:v>
      </x:c>
      <x:c r="B14" s="14" t="str">
        <x:v>控制、反制、护主机制密集</x:v>
      </x:c>
      <x:c r="C14" s="14" t="str">
        <x:v>魏武中枢、护主双壁、五子</x:v>
      </x:c>
      <x:c r="D14" s="14" t="str">
        <x:v>控制链可能让对手失去行动</x:v>
      </x:c>
      <x:c r="E14" s="14" t="str">
        <x:v>高</x:v>
      </x:c>
      <x:c r="F14" s="14" t="str">
        <x:v>统计目标平均失去行动条与控制覆盖率</x:v>
      </x:c>
    </x:row>
    <x:row r="15">
      <x:c r="A15" s="14" t="str">
        <x:v>吴</x:v>
      </x:c>
      <x:c r="B15" s="14" t="str">
        <x:v>行动条接力与火攻弹射</x:v>
      </x:c>
      <x:c r="C15" s="14" t="str">
        <x:v>东吴都督、孙氏、白衣奇袭</x:v>
      </x:c>
      <x:c r="D15" s="14" t="str">
        <x:v>周瑜/陆逊在密集站位收益大</x:v>
      </x:c>
      <x:c r="E15" s="14" t="str">
        <x:v>中</x:v>
      </x:c>
      <x:c r="F15" s="14" t="str">
        <x:v>分别测试1、2、3个目标时的输出曲线</x:v>
      </x:c>
    </x:row>
    <x:row r="16">
      <x:c r="A16" s="14" t="str">
        <x:v>群</x:v>
      </x:c>
      <x:c r="B16" s="14" t="str">
        <x:v>死亡触发、免死、反弹与收割</x:v>
      </x:c>
      <x:c r="C16" s="14" t="str">
        <x:v>乱世争衡、鬼神、河北、天道</x:v>
      </x:c>
      <x:c r="D16" s="14" t="str">
        <x:v>高波动，静态评分容易低估</x:v>
      </x:c>
      <x:c r="E16" s="14" t="str">
        <x:v>高</x:v>
      </x:c>
      <x:c r="F16" s="14" t="str">
        <x:v>增加多随机种子样本并单列方差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5992c551b02d455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0" hidden="0" customWidth="1"/>
    <x:col min="5" max="5" width="44" hidden="0" customWidth="1"/>
    <x:col min="6" max="6" width="58" hidden="0" customWidth="1"/>
  </x:cols>
  <x:sheetData>
    <x:row r="1" ht="48" customHeight="1">
      <x:c r="A1" s="4" t="str">
        <x:v>优先调平名单
按综合分排序；建议只指出先动哪类参数，最终幅度应由固定种子对战验证。</x:v>
      </x:c>
    </x:row>
    <x:row r="2" ht="48" customHeight="1"/>
    <x:row r="4" ht="30" customHeight="1">
      <x:c r="A4" s="10" t="str">
        <x:v>排名</x:v>
      </x:c>
      <x:c r="B4" s="10" t="str">
        <x:v>武将</x:v>
      </x:c>
      <x:c r="C4" s="10" t="str">
        <x:v>综合分</x:v>
      </x:c>
      <x:c r="D4" s="10" t="str">
        <x:v>阵营</x:v>
      </x:c>
      <x:c r="E4" s="10" t="str">
        <x:v>评估</x:v>
      </x:c>
      <x:c r="F4" s="10" t="str">
        <x:v>建议</x:v>
      </x:c>
    </x:row>
    <x:row r="5" ht="44" customHeight="1">
      <x:c r="A5" s="14" t="n">
        <x:v>1</x:v>
      </x:c>
      <x:c r="B5" s="14" t="str">
        <x:f>INDEX('武将明细'!$B$5:$B$60,MATCH(LARGE('武将明细'!$AA$5:$AA$60,A5),'武将明细'!$AA$5:$AA$60,0))</x:f>
        <x:v>张飞</x:v>
      </x:c>
      <x:c r="C5" s="72" t="n">
        <x:f>LARGE('武将明细'!$AA$5:$AA$60,A5)</x:f>
        <x:v>75.76666666666668</x:v>
      </x:c>
      <x:c r="D5" s="14" t="str">
        <x:f>INDEX('武将明细'!$D$5:$D$60,MATCH(C5,'武将明细'!$AA$5:$AA$60,0))</x:f>
        <x:v>蜀</x:v>
      </x:c>
      <x:c r="E5" s="14" t="str">
        <x:f>INDEX('武将明细'!$AD$5:$AD$60,MATCH(C5,'武将明细'!$AA$5:$AA$60,0))</x:f>
        <x:v>张飞：生存81 / 输出0 / 功能65 / 节奏68 / 羁绊100。主要优势在构筑兼容。</x:v>
      </x:c>
      <x:c r="F5" s="14" t="str">
        <x:f>INDEX('武将明细'!$AE$5:$AE$60,MATCH(C5,'武将明细'!$AA$5:$AA$60,0))</x:f>
        <x:v>建议先下调最高分项约5%~10%，再做镜像对战验证。</x:v>
      </x:c>
    </x:row>
    <x:row r="6" ht="44" customHeight="1">
      <x:c r="A6" s="14" t="n">
        <x:v>2</x:v>
      </x:c>
      <x:c r="B6" s="14" t="str">
        <x:f>INDEX('武将明细'!$B$5:$B$60,MATCH(LARGE('武将明细'!$AA$5:$AA$60,A6),'武将明细'!$AA$5:$AA$60,0))</x:f>
        <x:v>关羽</x:v>
      </x:c>
      <x:c r="C6" s="72" t="n">
        <x:f>LARGE('武将明细'!$AA$5:$AA$60,A6)</x:f>
        <x:v>71.0925925925926</x:v>
      </x:c>
      <x:c r="D6" s="14" t="str">
        <x:f>INDEX('武将明细'!$D$5:$D$60,MATCH(C6,'武将明细'!$AA$5:$AA$60,0))</x:f>
        <x:v>蜀</x:v>
      </x:c>
      <x:c r="E6" s="14" t="str">
        <x:f>INDEX('武将明细'!$AD$5:$AD$60,MATCH(C6,'武将明细'!$AA$5:$AA$60,0))</x:f>
        <x:v>关羽：生存74 / 输出60 / 功能0 / 节奏61 / 羁绊100。主要优势在构筑兼容。</x:v>
      </x:c>
      <x:c r="F6" s="14" t="str">
        <x:f>INDEX('武将明细'!$AE$5:$AE$60,MATCH(C6,'武将明细'!$AA$5:$AA$60,0))</x:f>
        <x:v>建议先下调最高分项约5%~10%，再做镜像对战验证。</x:v>
      </x:c>
    </x:row>
    <x:row r="7" ht="44" customHeight="1">
      <x:c r="A7" s="14" t="n">
        <x:v>3</x:v>
      </x:c>
      <x:c r="B7" s="14" t="str">
        <x:f>INDEX('武将明细'!$B$5:$B$60,MATCH(LARGE('武将明细'!$AA$5:$AA$60,A7),'武将明细'!$AA$5:$AA$60,0))</x:f>
        <x:v>刘禅</x:v>
      </x:c>
      <x:c r="C7" s="72" t="n">
        <x:f>LARGE('武将明细'!$AA$5:$AA$60,A7)</x:f>
        <x:v>69.86666666666667</x:v>
      </x:c>
      <x:c r="D7" s="14" t="str">
        <x:f>INDEX('武将明细'!$D$5:$D$60,MATCH(C7,'武将明细'!$AA$5:$AA$60,0))</x:f>
        <x:v>蜀</x:v>
      </x:c>
      <x:c r="E7" s="14" t="str">
        <x:f>INDEX('武将明细'!$AD$5:$AD$60,MATCH(C7,'武将明细'!$AA$5:$AA$60,0))</x:f>
        <x:v>刘禅：生存30 / 输出0 / 功能70 / 节奏79 / 羁绊100。主要优势在构筑兼容。</x:v>
      </x:c>
      <x:c r="F7" s="14" t="str">
        <x:f>INDEX('武将明细'!$AE$5:$AE$60,MATCH(C7,'武将明细'!$AA$5:$AA$60,0))</x:f>
        <x:v>建议先下调最高分项约5%~10%，再做镜像对战验证。</x:v>
      </x:c>
    </x:row>
    <x:row r="8" ht="44" customHeight="1">
      <x:c r="A8" s="14" t="n">
        <x:v>4</x:v>
      </x:c>
      <x:c r="B8" s="14" t="str">
        <x:f>INDEX('武将明细'!$B$5:$B$60,MATCH(LARGE('武将明细'!$AA$5:$AA$60,A8),'武将明细'!$AA$5:$AA$60,0))</x:f>
        <x:v>刘备</x:v>
      </x:c>
      <x:c r="C8" s="72" t="n">
        <x:f>LARGE('武将明细'!$AA$5:$AA$60,A8)</x:f>
        <x:v>69.52222222222223</x:v>
      </x:c>
      <x:c r="D8" s="14" t="str">
        <x:f>INDEX('武将明细'!$D$5:$D$60,MATCH(C8,'武将明细'!$AA$5:$AA$60,0))</x:f>
        <x:v>蜀</x:v>
      </x:c>
      <x:c r="E8" s="14" t="str">
        <x:f>INDEX('武将明细'!$AD$5:$AD$60,MATCH(C8,'武将明细'!$AA$5:$AA$60,0))</x:f>
        <x:v>刘备：生存48 / 输出0 / 功能62 / 节奏75 / 羁绊100。主要优势在构筑兼容。</x:v>
      </x:c>
      <x:c r="F8" s="14" t="str">
        <x:f>INDEX('武将明细'!$AE$5:$AE$60,MATCH(C8,'武将明细'!$AA$5:$AA$60,0))</x:f>
        <x:v>建议先下调最高分项约5%~10%，再做镜像对战验证。</x:v>
      </x:c>
    </x:row>
    <x:row r="9" ht="44" customHeight="1">
      <x:c r="A9" s="14" t="n">
        <x:v>5</x:v>
      </x:c>
      <x:c r="B9" s="14" t="str">
        <x:f>INDEX('武将明细'!$B$5:$B$60,MATCH(LARGE('武将明细'!$AA$5:$AA$60,A9),'武将明细'!$AA$5:$AA$60,0))</x:f>
        <x:v>吕布</x:v>
      </x:c>
      <x:c r="C9" s="72" t="n">
        <x:f>LARGE('武将明细'!$AA$5:$AA$60,A9)</x:f>
        <x:v>67.91925925925926</x:v>
      </x:c>
      <x:c r="D9" s="14" t="str">
        <x:f>INDEX('武将明细'!$D$5:$D$60,MATCH(C9,'武将明细'!$AA$5:$AA$60,0))</x:f>
        <x:v>群</x:v>
      </x:c>
      <x:c r="E9" s="14" t="str">
        <x:f>INDEX('武将明细'!$AD$5:$AD$60,MATCH(C9,'武将明细'!$AA$5:$AA$60,0))</x:f>
        <x:v>吕布：生存69 / 输出64 / 功能0 / 节奏68 / 羁绊75。主要优势在构筑兼容。</x:v>
      </x:c>
      <x:c r="F9" s="14" t="str">
        <x:f>INDEX('武将明细'!$AE$5:$AE$60,MATCH(C9,'武将明细'!$AA$5:$AA$60,0))</x:f>
        <x:v>当前静态评分处于合理区间；保持数值，重点监控羁绊阵容中的放大效应。</x:v>
      </x:c>
    </x:row>
    <x:row r="10" ht="44" customHeight="1">
      <x:c r="A10" s="14" t="n">
        <x:v>6</x:v>
      </x:c>
      <x:c r="B10" s="14" t="str">
        <x:f>INDEX('武将明细'!$B$5:$B$60,MATCH(LARGE('武将明细'!$AA$5:$AA$60,A10),'武将明细'!$AA$5:$AA$60,0))</x:f>
        <x:v>孙权</x:v>
      </x:c>
      <x:c r="C10" s="72" t="n">
        <x:f>LARGE('武将明细'!$AA$5:$AA$60,A10)</x:f>
        <x:v>65.22549019607843</x:v>
      </x:c>
      <x:c r="D10" s="14" t="str">
        <x:f>INDEX('武将明细'!$D$5:$D$60,MATCH(C10,'武将明细'!$AA$5:$AA$60,0))</x:f>
        <x:v>吴</x:v>
      </x:c>
      <x:c r="E10" s="14" t="str">
        <x:f>INDEX('武将明细'!$AD$5:$AD$60,MATCH(C10,'武将明细'!$AA$5:$AA$60,0))</x:f>
        <x:v>孙权：生存52 / 输出0 / 功能65 / 节奏69 / 羁绊75。主要优势在构筑兼容。</x:v>
      </x:c>
      <x:c r="F10" s="14" t="str">
        <x:f>INDEX('武将明细'!$AE$5:$AE$60,MATCH(C10,'武将明细'!$AA$5:$AA$60,0))</x:f>
        <x:v>当前静态评分处于合理区间；保持数值，重点监控羁绊阵容中的放大效应。</x:v>
      </x:c>
    </x:row>
    <x:row r="11" ht="44" customHeight="1">
      <x:c r="A11" s="14" t="n">
        <x:v>7</x:v>
      </x:c>
      <x:c r="B11" s="14" t="str">
        <x:f>INDEX('武将明细'!$B$5:$B$60,MATCH(LARGE('武将明细'!$AA$5:$AA$60,A11),'武将明细'!$AA$5:$AA$60,0))</x:f>
        <x:v>高览</x:v>
      </x:c>
      <x:c r="C11" s="72" t="n">
        <x:f>LARGE('武将明细'!$AA$5:$AA$60,A11)</x:f>
        <x:v>63.65555555555555</x:v>
      </x:c>
      <x:c r="D11" s="14" t="str">
        <x:f>INDEX('武将明细'!$D$5:$D$60,MATCH(C11,'武将明细'!$AA$5:$AA$60,0))</x:f>
        <x:v>群</x:v>
      </x:c>
      <x:c r="E11" s="14" t="str">
        <x:f>INDEX('武将明细'!$AD$5:$AD$60,MATCH(C11,'武将明细'!$AA$5:$AA$60,0))</x:f>
        <x:v>高览：生存38 / 输出0 / 功能65 / 节奏75 / 羁绊75。主要优势在节奏。</x:v>
      </x:c>
      <x:c r="F11" s="14" t="str">
        <x:f>INDEX('武将明细'!$AE$5:$AE$60,MATCH(C11,'武将明细'!$AA$5:$AA$60,0))</x:f>
        <x:v>当前静态评分处于合理区间；保持数值，重点监控羁绊阵容中的放大效应。</x:v>
      </x:c>
    </x:row>
    <x:row r="12" ht="44" customHeight="1">
      <x:c r="A12" s="14" t="n">
        <x:v>8</x:v>
      </x:c>
      <x:c r="B12" s="14" t="str">
        <x:f>INDEX('武将明细'!$B$5:$B$60,MATCH(LARGE('武将明细'!$AA$5:$AA$60,A12),'武将明细'!$AA$5:$AA$60,0))</x:f>
        <x:v>曹操</x:v>
      </x:c>
      <x:c r="C12" s="72" t="n">
        <x:f>LARGE('武将明细'!$AA$5:$AA$60,A12)</x:f>
        <x:v>62.05555555555556</x:v>
      </x:c>
      <x:c r="D12" s="14" t="str">
        <x:f>INDEX('武将明细'!$D$5:$D$60,MATCH(C12,'武将明细'!$AA$5:$AA$60,0))</x:f>
        <x:v>魏</x:v>
      </x:c>
      <x:c r="E12" s="14" t="str">
        <x:f>INDEX('武将明细'!$AD$5:$AD$60,MATCH(C12,'武将明细'!$AA$5:$AA$60,0))</x:f>
        <x:v>曹操：生存89 / 输出12 / 功能43 / 节奏61 / 羁绊75。主要优势在身板。</x:v>
      </x:c>
      <x:c r="F12" s="14" t="str">
        <x:f>INDEX('武将明细'!$AE$5:$AE$60,MATCH(C12,'武将明细'!$AA$5:$AA$60,0))</x:f>
        <x:v>当前静态评分处于合理区间；保持数值，重点监控羁绊阵容中的放大效应。</x:v>
      </x:c>
    </x:row>
    <x:row r="13" ht="44" customHeight="1">
      <x:c r="A13" s="14" t="n">
        <x:v>9</x:v>
      </x:c>
      <x:c r="B13" s="14" t="str">
        <x:f>INDEX('武将明细'!$B$5:$B$60,MATCH(LARGE('武将明细'!$AA$5:$AA$60,A13),'武将明细'!$AA$5:$AA$60,0))</x:f>
        <x:v>张郃</x:v>
      </x:c>
      <x:c r="C13" s="72" t="n">
        <x:f>LARGE('武将明细'!$AA$5:$AA$60,A13)</x:f>
        <x:v>61.837037037037035</x:v>
      </x:c>
      <x:c r="D13" s="14" t="str">
        <x:f>INDEX('武将明细'!$D$5:$D$60,MATCH(C13,'武将明细'!$AA$5:$AA$60,0))</x:f>
        <x:v>魏</x:v>
      </x:c>
      <x:c r="E13" s="14" t="str">
        <x:f>INDEX('武将明细'!$AD$5:$AD$60,MATCH(C13,'武将明细'!$AA$5:$AA$60,0))</x:f>
        <x:v>张郃：生存67 / 输出14 / 功能50 / 节奏67 / 羁绊75。主要优势在构筑兼容。</x:v>
      </x:c>
      <x:c r="F13" s="14" t="str">
        <x:f>INDEX('武将明细'!$AE$5:$AE$60,MATCH(C13,'武将明细'!$AA$5:$AA$60,0))</x:f>
        <x:v>当前静态评分处于合理区间；保持数值，重点监控羁绊阵容中的放大效应。</x:v>
      </x:c>
    </x:row>
    <x:row r="14" ht="44" customHeight="1">
      <x:c r="A14" s="14" t="n">
        <x:v>10</x:v>
      </x:c>
      <x:c r="B14" s="14" t="str">
        <x:f>INDEX('武将明细'!$B$5:$B$60,MATCH(LARGE('武将明细'!$AA$5:$AA$60,A14),'武将明细'!$AA$5:$AA$60,0))</x:f>
        <x:v>董卓</x:v>
      </x:c>
      <x:c r="C14" s="72" t="n">
        <x:f>LARGE('武将明细'!$AA$5:$AA$60,A14)</x:f>
        <x:v>59.86592592592593</x:v>
      </x:c>
      <x:c r="D14" s="14" t="str">
        <x:f>INDEX('武将明细'!$D$5:$D$60,MATCH(C14,'武将明细'!$AA$5:$AA$60,0))</x:f>
        <x:v>群</x:v>
      </x:c>
      <x:c r="E14" s="14" t="str">
        <x:f>INDEX('武将明细'!$AD$5:$AD$60,MATCH(C14,'武将明细'!$AA$5:$AA$60,0))</x:f>
        <x:v>董卓：生存81 / 输出38 / 功能0 / 节奏68 / 羁绊75。主要优势在身板。</x:v>
      </x:c>
      <x:c r="F14" s="14" t="str">
        <x:f>INDEX('武将明细'!$AE$5:$AE$60,MATCH(C14,'武将明细'!$AA$5:$AA$60,0))</x:f>
        <x:v>当前静态评分处于合理区间；保持数值，重点监控羁绊阵容中的放大效应。</x:v>
      </x:c>
    </x:row>
    <x:row r="15" ht="44" customHeight="1">
      <x:c r="C15" s="73"/>
    </x:row>
    <x:row r="16" ht="44" customHeight="1">
      <x:c r="C16" s="73"/>
    </x:row>
    <x:row r="17" ht="44" customHeight="1">
      <x:c r="A17" s="18" t="str">
        <x:v>低分观察名单（不等于必须加强）</x:v>
      </x:c>
      <x:c r="B17" s="19"/>
      <x:c r="C17" s="74"/>
      <x:c r="D17" s="19"/>
      <x:c r="E17" s="19"/>
      <x:c r="F17" s="20"/>
    </x:row>
    <x:row r="18" ht="44" customHeight="1">
      <x:c r="C18" s="73"/>
    </x:row>
    <x:row r="19" ht="44" customHeight="1">
      <x:c r="A19" s="10" t="str">
        <x:v>排名</x:v>
      </x:c>
      <x:c r="B19" s="10" t="str">
        <x:v>武将</x:v>
      </x:c>
      <x:c r="C19" s="75" t="str">
        <x:v>综合分</x:v>
      </x:c>
      <x:c r="D19" s="10" t="str">
        <x:v>阵营</x:v>
      </x:c>
      <x:c r="E19" s="10" t="str">
        <x:v>评估</x:v>
      </x:c>
      <x:c r="F19" s="10" t="str">
        <x:v>建议</x:v>
      </x:c>
    </x:row>
    <x:row r="20" ht="44" customHeight="1">
      <x:c r="A20" s="14" t="n">
        <x:v>1</x:v>
      </x:c>
      <x:c r="B20" s="14" t="str">
        <x:f>INDEX('武将明细'!$B$5:$B$60,MATCH(SMALL('武将明细'!$AA$5:$AA$60,A20),'武将明细'!$AA$5:$AA$60,0))</x:f>
        <x:v>张角</x:v>
      </x:c>
      <x:c r="C20" s="72" t="n">
        <x:f>SMALL('武将明细'!$AA$5:$AA$60,A20)</x:f>
        <x:v>38.086333333333336</x:v>
      </x:c>
      <x:c r="D20" s="14" t="str">
        <x:f>INDEX('武将明细'!$D$5:$D$60,MATCH(C20,'武将明细'!$AA$5:$AA$60,0))</x:f>
        <x:v>群</x:v>
      </x:c>
      <x:c r="E20" s="14" t="str">
        <x:f>INDEX('武将明细'!$AD$5:$AD$60,MATCH(C20,'武将明细'!$AA$5:$AA$60,0))</x:f>
        <x:v>张角：生存36 / 输出9 / 功能0 / 节奏62 / 羁绊75。主要优势在构筑兼容。</x:v>
      </x:c>
      <x:c r="F20" s="14" t="str">
        <x:f>INDEX('武将明细'!$AE$5:$AE$60,MATCH(C20,'武将明细'!$AA$5:$AA$60,0))</x:f>
        <x:v>建议优先补足技能输出或目标效率，单次调整控制在5%~12%。</x:v>
      </x:c>
    </x:row>
    <x:row r="21" ht="44" customHeight="1">
      <x:c r="A21" s="14" t="n">
        <x:v>2</x:v>
      </x:c>
      <x:c r="B21" s="14" t="str">
        <x:f>INDEX('武将明细'!$B$5:$B$60,MATCH(SMALL('武将明细'!$AA$5:$AA$60,A21),'武将明细'!$AA$5:$AA$60,0))</x:f>
        <x:v>马岱</x:v>
      </x:c>
      <x:c r="C21" s="72" t="n">
        <x:f>SMALL('武将明细'!$AA$5:$AA$60,A21)</x:f>
        <x:v>39.33288888888889</x:v>
      </x:c>
      <x:c r="D21" s="14" t="str">
        <x:f>INDEX('武将明细'!$D$5:$D$60,MATCH(C21,'武将明细'!$AA$5:$AA$60,0))</x:f>
        <x:v>蜀</x:v>
      </x:c>
      <x:c r="E21" s="14" t="str">
        <x:f>INDEX('武将明细'!$AD$5:$AD$60,MATCH(C21,'武将明细'!$AA$5:$AA$60,0))</x:f>
        <x:v>马岱：生存41 / 输出15 / 功能6 / 节奏75 / 羁绊50。主要优势在节奏。</x:v>
      </x:c>
      <x:c r="F21" s="14" t="str">
        <x:f>INDEX('武将明细'!$AE$5:$AE$60,MATCH(C21,'武将明细'!$AA$5:$AA$60,0))</x:f>
        <x:v>建议优先补足技能输出或目标效率，单次调整控制在5%~12%。</x:v>
      </x:c>
    </x:row>
    <x:row r="22" ht="44" customHeight="1">
      <x:c r="A22" s="14" t="n">
        <x:v>3</x:v>
      </x:c>
      <x:c r="B22" s="14" t="str">
        <x:f>INDEX('武将明细'!$B$5:$B$60,MATCH(SMALL('武将明细'!$AA$5:$AA$60,A22),'武将明细'!$AA$5:$AA$60,0))</x:f>
        <x:v>袁术</x:v>
      </x:c>
      <x:c r="C22" s="72" t="n">
        <x:f>SMALL('武将明细'!$AA$5:$AA$60,A22)</x:f>
        <x:v>39.64407407407407</x:v>
      </x:c>
      <x:c r="D22" s="14" t="str">
        <x:f>INDEX('武将明细'!$D$5:$D$60,MATCH(C22,'武将明细'!$AA$5:$AA$60,0))</x:f>
        <x:v>群</x:v>
      </x:c>
      <x:c r="E22" s="14" t="str">
        <x:f>INDEX('武将明细'!$AD$5:$AD$60,MATCH(C22,'武将明细'!$AA$5:$AA$60,0))</x:f>
        <x:v>袁术：生存32 / 输出25 / 功能0 / 节奏66 / 羁绊50。主要优势在节奏。</x:v>
      </x:c>
      <x:c r="F22" s="14" t="str">
        <x:f>INDEX('武将明细'!$AE$5:$AE$60,MATCH(C22,'武将明细'!$AA$5:$AA$60,0))</x:f>
        <x:v>建议优先补足技能输出或目标效率，单次调整控制在5%~12%。</x:v>
      </x:c>
    </x:row>
    <x:row r="23" ht="44" customHeight="1">
      <x:c r="A23" s="14" t="n">
        <x:v>4</x:v>
      </x:c>
      <x:c r="B23" s="14" t="str">
        <x:f>INDEX('武将明细'!$B$5:$B$60,MATCH(SMALL('武将明细'!$AA$5:$AA$60,A23),'武将明细'!$AA$5:$AA$60,0))</x:f>
        <x:v>夏侯渊</x:v>
      </x:c>
      <x:c r="C23" s="72" t="n">
        <x:f>SMALL('武将明细'!$AA$5:$AA$60,A23)</x:f>
        <x:v>39.83440329218107</x:v>
      </x:c>
      <x:c r="D23" s="14" t="str">
        <x:f>INDEX('武将明细'!$D$5:$D$60,MATCH(C23,'武将明细'!$AA$5:$AA$60,0))</x:f>
        <x:v>魏</x:v>
      </x:c>
      <x:c r="E23" s="14" t="str">
        <x:f>INDEX('武将明细'!$AD$5:$AD$60,MATCH(C23,'武将明细'!$AA$5:$AA$60,0))</x:f>
        <x:v>夏侯渊：生存38 / 输出15 / 功能0 / 节奏81 / 羁绊50。主要优势在节奏。</x:v>
      </x:c>
      <x:c r="F23" s="14" t="str">
        <x:f>INDEX('武将明细'!$AE$5:$AE$60,MATCH(C23,'武将明细'!$AA$5:$AA$60,0))</x:f>
        <x:v>建议优先补足技能输出或目标效率，单次调整控制在5%~12%。</x:v>
      </x:c>
    </x:row>
    <x:row r="24" ht="44" customHeight="1">
      <x:c r="A24" s="14" t="n">
        <x:v>5</x:v>
      </x:c>
      <x:c r="B24" s="14" t="str">
        <x:f>INDEX('武将明细'!$B$5:$B$60,MATCH(SMALL('武将明细'!$AA$5:$AA$60,A24),'武将明细'!$AA$5:$AA$60,0))</x:f>
        <x:v>司马懿</x:v>
      </x:c>
      <x:c r="C24" s="72" t="n">
        <x:f>SMALL('武将明细'!$AA$5:$AA$60,A24)</x:f>
        <x:v>40.42277777777778</x:v>
      </x:c>
      <x:c r="D24" s="14" t="str">
        <x:f>INDEX('武将明细'!$D$5:$D$60,MATCH(C24,'武将明细'!$AA$5:$AA$60,0))</x:f>
        <x:v>魏</x:v>
      </x:c>
      <x:c r="E24" s="14" t="str">
        <x:f>INDEX('武将明细'!$AD$5:$AD$60,MATCH(C24,'武将明细'!$AA$5:$AA$60,0))</x:f>
        <x:v>司马懿：生存30 / 输出18 / 功能0 / 节奏62 / 羁绊75。主要优势在构筑兼容。</x:v>
      </x:c>
      <x:c r="F24" s="14" t="str">
        <x:f>INDEX('武将明细'!$AE$5:$AE$60,MATCH(C24,'武将明细'!$AA$5:$AA$60,0))</x:f>
        <x:v>建议优先补足技能输出或目标效率，单次调整控制在5%~12%。</x:v>
      </x:c>
    </x:row>
    <x:row r="25" ht="44" customHeight="1">
      <x:c r="A25" s="14" t="n">
        <x:v>6</x:v>
      </x:c>
      <x:c r="B25" s="14" t="str">
        <x:f>INDEX('武将明细'!$B$5:$B$60,MATCH(SMALL('武将明细'!$AA$5:$AA$60,A25),'武将明细'!$AA$5:$AA$60,0))</x:f>
        <x:v>诸葛亮</x:v>
      </x:c>
      <x:c r="C25" s="72" t="n">
        <x:f>SMALL('武将明细'!$AA$5:$AA$60,A25)</x:f>
        <x:v>42.27077777777778</x:v>
      </x:c>
      <x:c r="D25" s="14" t="str">
        <x:f>INDEX('武将明细'!$D$5:$D$60,MATCH(C25,'武将明细'!$AA$5:$AA$60,0))</x:f>
        <x:v>蜀</x:v>
      </x:c>
      <x:c r="E25" s="14" t="str">
        <x:f>INDEX('武将明细'!$AD$5:$AD$60,MATCH(C25,'武将明细'!$AA$5:$AA$60,0))</x:f>
        <x:v>诸葛亮：生存30 / 输出23 / 功能0 / 节奏62 / 羁绊75。主要优势在构筑兼容。</x:v>
      </x:c>
      <x:c r="F25" s="14" t="str">
        <x:f>INDEX('武将明细'!$AE$5:$AE$60,MATCH(C25,'武将明细'!$AA$5:$AA$60,0))</x:f>
        <x:v>当前静态评分处于合理区间；保持数值，重点监控羁绊阵容中的放大效应。</x:v>
      </x:c>
    </x:row>
    <x:row r="26" ht="44" customHeight="1">
      <x:c r="A26" s="14" t="n">
        <x:v>7</x:v>
      </x:c>
      <x:c r="B26" s="14" t="str">
        <x:f>INDEX('武将明细'!$B$5:$B$60,MATCH(SMALL('武将明细'!$AA$5:$AA$60,A26),'武将明细'!$AA$5:$AA$60,0))</x:f>
        <x:v>于吉</x:v>
      </x:c>
      <x:c r="C26" s="72" t="n">
        <x:f>SMALL('武将明细'!$AA$5:$AA$60,A26)</x:f>
        <x:v>42.40504504504504</x:v>
      </x:c>
      <x:c r="D26" s="14" t="str">
        <x:f>INDEX('武将明细'!$D$5:$D$60,MATCH(C26,'武将明细'!$AA$5:$AA$60,0))</x:f>
        <x:v>群</x:v>
      </x:c>
      <x:c r="E26" s="14" t="str">
        <x:f>INDEX('武将明细'!$AD$5:$AD$60,MATCH(C26,'武将明细'!$AA$5:$AA$60,0))</x:f>
        <x:v>于吉：生存33 / 输出19 / 功能0 / 节奏65 / 羁绊75。主要优势在构筑兼容。</x:v>
      </x:c>
      <x:c r="F26" s="14" t="str">
        <x:f>INDEX('武将明细'!$AE$5:$AE$60,MATCH(C26,'武将明细'!$AA$5:$AA$60,0))</x:f>
        <x:v>当前静态评分处于合理区间；保持数值，重点监控羁绊阵容中的放大效应。</x:v>
      </x:c>
    </x:row>
    <x:row r="27" ht="44" customHeight="1">
      <x:c r="A27" s="14" t="n">
        <x:v>8</x:v>
      </x:c>
      <x:c r="B27" s="14" t="str">
        <x:f>INDEX('武将明细'!$B$5:$B$60,MATCH(SMALL('武将明细'!$AA$5:$AA$60,A27),'武将明细'!$AA$5:$AA$60,0))</x:f>
        <x:v>曹仁</x:v>
      </x:c>
      <x:c r="C27" s="72" t="n">
        <x:f>SMALL('武将明细'!$AA$5:$AA$60,A27)</x:f>
        <x:v>42.857657657657654</x:v>
      </x:c>
      <x:c r="D27" s="14" t="str">
        <x:f>INDEX('武将明细'!$D$5:$D$60,MATCH(C27,'武将明细'!$AA$5:$AA$60,0))</x:f>
        <x:v>魏</x:v>
      </x:c>
      <x:c r="E27" s="14" t="str">
        <x:f>INDEX('武将明细'!$AD$5:$AD$60,MATCH(C27,'武将明细'!$AA$5:$AA$60,0))</x:f>
        <x:v>曹仁：生存93 / 输出0 / 功能10 / 节奏51 / 羁绊50。主要优势在身板。</x:v>
      </x:c>
      <x:c r="F27" s="14" t="str">
        <x:f>INDEX('武将明细'!$AE$5:$AE$60,MATCH(C27,'武将明细'!$AA$5:$AA$60,0))</x:f>
        <x:v>当前静态评分处于合理区间；保持数值，重点监控羁绊阵容中的放大效应。</x:v>
      </x:c>
    </x:row>
    <x:row r="28" ht="44" customHeight="1">
      <x:c r="A28" s="14" t="n">
        <x:v>9</x:v>
      </x:c>
      <x:c r="B28" s="14" t="str">
        <x:f>INDEX('武将明细'!$B$5:$B$60,MATCH(SMALL('武将明细'!$AA$5:$AA$60,A28),'武将明细'!$AA$5:$AA$60,0))</x:f>
        <x:v>甘宁</x:v>
      </x:c>
      <x:c r="C28" s="72" t="n">
        <x:f>SMALL('武将明细'!$AA$5:$AA$60,A28)</x:f>
        <x:v>42.92903225806451</x:v>
      </x:c>
      <x:c r="D28" s="14" t="str">
        <x:f>INDEX('武将明细'!$D$5:$D$60,MATCH(C28,'武将明细'!$AA$5:$AA$60,0))</x:f>
        <x:v>吴</x:v>
      </x:c>
      <x:c r="E28" s="14" t="str">
        <x:f>INDEX('武将明细'!$AD$5:$AD$60,MATCH(C28,'武将明细'!$AA$5:$AA$60,0))</x:f>
        <x:v>甘宁：生存45 / 输出18 / 功能13 / 节奏59 / 羁绊75。主要优势在构筑兼容。</x:v>
      </x:c>
      <x:c r="F28" s="14" t="str">
        <x:f>INDEX('武将明细'!$AE$5:$AE$60,MATCH(C28,'武将明细'!$AA$5:$AA$60,0))</x:f>
        <x:v>当前静态评分处于合理区间；保持数值，重点监控羁绊阵容中的放大效应。</x:v>
      </x:c>
    </x:row>
    <x:row r="29" ht="44" customHeight="1">
      <x:c r="A29" s="14" t="n">
        <x:v>10</x:v>
      </x:c>
      <x:c r="B29" s="14" t="str">
        <x:f>INDEX('武将明细'!$B$5:$B$60,MATCH(SMALL('武将明细'!$AA$5:$AA$60,A29),'武将明细'!$AA$5:$AA$60,0))</x:f>
        <x:v>乐进</x:v>
      </x:c>
      <x:c r="C29" s="72" t="n">
        <x:f>SMALL('武将明细'!$AA$5:$AA$60,A29)</x:f>
        <x:v>45.22888888888889</x:v>
      </x:c>
      <x:c r="D29" s="14" t="str">
        <x:f>INDEX('武将明细'!$D$5:$D$60,MATCH(C29,'武将明细'!$AA$5:$AA$60,0))</x:f>
        <x:v>魏</x:v>
      </x:c>
      <x:c r="E29" s="14" t="str">
        <x:f>INDEX('武将明细'!$AD$5:$AD$60,MATCH(C29,'武将明细'!$AA$5:$AA$60,0))</x:f>
        <x:v>乐进：生存37 / 输出20 / 功能7 / 节奏75 / 羁绊75。主要优势在节奏。</x:v>
      </x:c>
      <x:c r="F29" s="14" t="str">
        <x:f>INDEX('武将明细'!$AE$5:$AE$60,MATCH(C29,'武将明细'!$AA$5:$AA$60,0))</x:f>
        <x:v>当前静态评分处于合理区间；保持数值，重点监控羁绊阵容中的放大效应。</x:v>
      </x:c>
    </x:row>
  </x:sheetData>
  <x:mergeCells>
    <x:mergeCell ref="A1:F2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8" customHeight="1">
      <x:c r="A1" s="4" t="str">
        <x:v>评分规则与审计口径
所有综合分均由“武将明细”公式引用本页参数；它是静态启发式基线，不等同于实战胜率。</x:v>
      </x:c>
    </x:row>
    <x:row r="2" ht="48" customHeight="1"/>
    <x:row r="4" ht="30" customHeight="1">
      <x:c r="A4" s="10" t="str">
        <x:v>参数</x:v>
      </x:c>
      <x:c r="B4" s="10" t="str">
        <x:v>数值</x:v>
      </x:c>
      <x:c r="C4" s="10" t="str">
        <x:v>解释</x:v>
      </x:c>
    </x:row>
    <x:row r="5">
      <x:c r="A5" s="14" t="str">
        <x:v>生命基准</x:v>
      </x:c>
      <x:c r="B5" s="14" t="n">
        <x:v>1800</x:v>
      </x:c>
      <x:c r="C5" s="14" t="str">
        <x:v>用于归一化生存能力</x:v>
      </x:c>
    </x:row>
    <x:row r="6">
      <x:c r="A6" s="14" t="str">
        <x:v>每秒伤害基准</x:v>
      </x:c>
      <x:c r="B6" s="14" t="n">
        <x:v>90</x:v>
      </x:c>
      <x:c r="C6" s="14" t="str">
        <x:v>预估伤害 ÷ 读条秒的归一化基准</x:v>
      </x:c>
    </x:row>
    <x:row r="7">
      <x:c r="A7" s="14" t="str">
        <x:v>每秒支援基准</x:v>
      </x:c>
      <x:c r="B7" s="14" t="n">
        <x:v>160</x:v>
      </x:c>
      <x:c r="C7" s="14" t="str">
        <x:v>治疗与护盾等效值的归一化基准</x:v>
      </x:c>
    </x:row>
    <x:row r="8">
      <x:c r="A8" s="14" t="str">
        <x:v>每秒控制基准</x:v>
      </x:c>
      <x:c r="B8" s="14" t="n">
        <x:v>0.5</x:v>
      </x:c>
      <x:c r="C8" s="14" t="str">
        <x:v>控制秒数 ÷ 读条秒的归一化基准</x:v>
      </x:c>
    </x:row>
    <x:row r="9">
      <x:c r="A9" s="14" t="str">
        <x:v>读条速度基准</x:v>
      </x:c>
      <x:c r="B9" s="14" t="n">
        <x:v>2.5</x:v>
      </x:c>
      <x:c r="C9" s="14" t="str">
        <x:v>越低越快；节奏分使用 基准 ÷ 实际秒数</x:v>
      </x:c>
    </x:row>
    <x:row r="10">
      <x:c r="A10" s="14" t="str">
        <x:v>羁绊数量基准</x:v>
      </x:c>
      <x:c r="B10" s="14" t="n">
        <x:v>3</x:v>
      </x:c>
      <x:c r="C10" s="14" t="str">
        <x:v>个人可参与的羁绊条目数量</x:v>
      </x:c>
    </x:row>
    <x:row r="11">
      <x:c r="A11" s="14" t="str">
        <x:v>生存权重</x:v>
      </x:c>
      <x:c r="B11" s="15" t="n">
        <x:v>0.2</x:v>
      </x:c>
      <x:c r="C11" s="14" t="str">
        <x:v>综合分权重</x:v>
      </x:c>
    </x:row>
    <x:row r="12">
      <x:c r="A12" s="14" t="str">
        <x:v>主贡献权重</x:v>
      </x:c>
      <x:c r="B12" s="15" t="n">
        <x:v>0.4</x:v>
      </x:c>
      <x:c r="C12" s="14" t="str">
        <x:v>输出分与功能分取较高者，避免辅助因零伤害被误判</x:v>
      </x:c>
    </x:row>
    <x:row r="13">
      <x:c r="A13" s="14" t="str">
        <x:v>次贡献权重</x:v>
      </x:c>
      <x:c r="B13" s="15" t="n">
        <x:v>0</x:v>
      </x:c>
      <x:c r="C13" s="14" t="str">
        <x:v>输出分与功能分取较低者；当前不强制武将同时承担两种职责</x:v>
      </x:c>
    </x:row>
    <x:row r="14">
      <x:c r="A14" s="14" t="str">
        <x:v>节奏权重</x:v>
      </x:c>
      <x:c r="B14" s="15" t="n">
        <x:v>0.2</x:v>
      </x:c>
      <x:c r="C14" s="14" t="str">
        <x:v>综合分权重</x:v>
      </x:c>
    </x:row>
    <x:row r="15">
      <x:c r="A15" s="14" t="str">
        <x:v>羁绊权重</x:v>
      </x:c>
      <x:c r="B15" s="15" t="n">
        <x:v>0.2</x:v>
      </x:c>
      <x:c r="C15" s="14" t="str">
        <x:v>综合分权重</x:v>
      </x:c>
    </x:row>
    <x:row r="16">
      <x:c r="A16" s="14" t="str">
        <x:v>偏强阈值</x:v>
      </x:c>
      <x:c r="B16" s="14" t="n">
        <x:v>68</x:v>
      </x:c>
      <x:c r="C16" s="14" t="str">
        <x:v>当前版本分布上端约前7%；综合分达到或超过该值</x:v>
      </x:c>
    </x:row>
    <x:row r="17">
      <x:c r="A17" s="14" t="str">
        <x:v>偏弱阈值</x:v>
      </x:c>
      <x:c r="B17" s="14" t="n">
        <x:v>42</x:v>
      </x:c>
      <x:c r="C17" s="14" t="str">
        <x:v>当前版本分布下端约后9%；综合分低于或等于该值</x:v>
      </x:c>
    </x:row>
    <x:row r="18" ht="30" customHeight="1">
      <x:c r="A18" s="10" t="str">
        <x:v>分项</x:v>
      </x:c>
      <x:c r="B18" s="10" t="str">
        <x:v>公式口径</x:v>
      </x:c>
      <x:c r="C18" s="10" t="str">
        <x:v>主要优点</x:v>
      </x:c>
      <x:c r="D18" s="10" t="str">
        <x:v>主要限制</x:v>
      </x:c>
      <x:c r="E18" s="10" t="str">
        <x:v>建议用途</x:v>
      </x:c>
      <x:c r="F18" s="10" t="str">
        <x:v>不应单独用于</x:v>
      </x:c>
    </x:row>
    <x:row r="19">
      <x:c r="A19" s="14" t="str">
        <x:v>生存分</x:v>
      </x:c>
      <x:c r="B19" s="14" t="str">
        <x:v>生命、射程站位、坦克/战士定位、治疗护盾自洽</x:v>
      </x:c>
      <x:c r="C19" s="14" t="str">
        <x:v>可快速发现极端血量</x:v>
      </x:c>
      <x:c r="D19" s="14" t="str">
        <x:v>未模拟集火与站位</x:v>
      </x:c>
      <x:c r="E19" s="14" t="str">
        <x:v>基础身板筛查</x:v>
      </x:c>
      <x:c r="F19" s="14" t="str">
        <x:v>判定坦克实战强度</x:v>
      </x:c>
    </x:row>
    <x:row r="20">
      <x:c r="A20" s="14" t="str">
        <x:v>输出分</x:v>
      </x:c>
      <x:c r="B20" s="14" t="str">
        <x:v>攻击×技能系数×预计目标数+灼烧，再除以读条</x:v>
      </x:c>
      <x:c r="C20" s="14" t="str">
        <x:v>直接、可审计</x:v>
      </x:c>
      <x:c r="D20" s="14" t="str">
        <x:v>目标数为标准战场假设</x:v>
      </x:c>
      <x:c r="E20" s="14" t="str">
        <x:v>爆发/DPS初筛</x:v>
      </x:c>
      <x:c r="F20" s="14" t="str">
        <x:v>代替战斗模拟</x:v>
      </x:c>
    </x:row>
    <x:row r="21">
      <x:c r="A21" s="14" t="str">
        <x:v>功能分</x:v>
      </x:c>
      <x:c r="B21" s="14" t="str">
        <x:v>治疗、护盾、控制与机制点</x:v>
      </x:c>
      <x:c r="C21" s="14" t="str">
        <x:v>能覆盖辅助价值</x:v>
      </x:c>
      <x:c r="D21" s="14" t="str">
        <x:v>机制点含设计判断</x:v>
      </x:c>
      <x:c r="E21" s="14" t="str">
        <x:v>辅助横向比较</x:v>
      </x:c>
      <x:c r="F21" s="14" t="str">
        <x:v>精确衡量控制收益</x:v>
      </x:c>
    </x:row>
    <x:row r="22">
      <x:c r="A22" s="14" t="str">
        <x:v>节奏分</x:v>
      </x:c>
      <x:c r="B22" s="14" t="str">
        <x:v>读条速度、射程、返还/行动条收益</x:v>
      </x:c>
      <x:c r="C22" s="14" t="str">
        <x:v>突出先手能力</x:v>
      </x:c>
      <x:c r="D22" s="14" t="str">
        <x:v>未计敌我互动</x:v>
      </x:c>
      <x:c r="E22" s="14" t="str">
        <x:v>识别行动循环风险</x:v>
      </x:c>
      <x:c r="F22" s="14" t="str">
        <x:v>预测最终回合数</x:v>
      </x:c>
    </x:row>
    <x:row r="23">
      <x:c r="A23" s="14" t="str">
        <x:v>羁绊分</x:v>
      </x:c>
      <x:c r="B23" s="14" t="str">
        <x:v>参与羁绊数量归一化</x:v>
      </x:c>
      <x:c r="C23" s="14" t="str">
        <x:v>识别构筑便利度</x:v>
      </x:c>
      <x:c r="D23" s="14" t="str">
        <x:v>不代表羁绊质量</x:v>
      </x:c>
      <x:c r="E23" s="14" t="str">
        <x:v>发现孤立武将</x:v>
      </x:c>
      <x:c r="F23" s="14" t="str">
        <x:v>衡量完整阵容强度</x:v>
      </x:c>
    </x:row>
    <x:row r="24">
      <x:c r="A24" s="14" t="str">
        <x:v>综合分</x:v>
      </x:c>
      <x:c r="B24" s="14" t="str">
        <x:v>五项加权</x:v>
      </x:c>
      <x:c r="C24" s="14" t="str">
        <x:v>适合批量发现离群值</x:v>
      </x:c>
      <x:c r="D24" s="14" t="str">
        <x:v>依赖基准与假设</x:v>
      </x:c>
      <x:c r="E24" s="14" t="str">
        <x:v>版本平衡基线</x:v>
      </x:c>
      <x:c r="F24" s="14" t="str">
        <x:v>替代胜率、选取率数据</x:v>
      </x:c>
    </x:row>
    <x:row r="25">
      <x:c r="A25" s="14" t="str">
        <x:v>验证建议</x:v>
      </x:c>
      <x:c r="B25" s="14" t="str">
        <x:v>固定种子镜像对战 + 多阵容抽样</x:v>
      </x:c>
      <x:c r="C25" s="14" t="str">
        <x:v>能校验静态评分偏差</x:v>
      </x:c>
      <x:c r="D25" s="14" t="str">
        <x:v>需要额外仿真工具</x:v>
      </x:c>
      <x:c r="E25" s="14" t="str">
        <x:v>下一轮平衡迭代</x:v>
      </x:c>
      <x:c r="F25" s="14" t="str">
        <x:v>仅凭主观试玩下结论</x:v>
      </x:c>
    </x:row>
    <x:row r="27">
      <x:c r="A27" s="18" t="str">
        <x:v>代码来源与参考</x:v>
      </x:c>
      <x:c r="B27" s="19" t="str"/>
      <x:c r="C27" s="19" t="str"/>
      <x:c r="D27" s="19" t="str"/>
      <x:c r="E27" s="19" t="str"/>
      <x:c r="F27" s="20" t="str"/>
    </x:row>
    <x:row r="28">
      <x:c r="A28" s="14" t="str">
        <x:v>运行时数据</x:v>
      </x:c>
      <x:c r="B28" s="14" t="str">
        <x:v>res://tools/export_balance_snapshot.gd</x:v>
      </x:c>
      <x:c r="C28" s="14" t="str">
        <x:v>加载真实主场景后导出，包含预处理后的56名武将</x:v>
      </x:c>
      <x:c r="D28" s="14" t="str"/>
      <x:c r="E28" s="14" t="str"/>
      <x:c r="F28" s="14" t="str"/>
    </x:row>
    <x:row r="29">
      <x:c r="A29" s="14" t="str">
        <x:v>Godot 项目组织</x:v>
      </x:c>
      <x:c r="B29" s="14" t="str">
        <x:v>https://docs.godotengine.org/en/stable/tutorials/best_practices/project_organization.html</x:v>
      </x:c>
      <x:c r="C29" s="14" t="str"/>
      <x:c r="D29" s="14" t="str"/>
      <x:c r="E29" s="14" t="str"/>
      <x:c r="F29" s="14" t="str"/>
    </x:row>
    <x:row r="30">
      <x:c r="A30" s="14" t="str">
        <x:v>Godot 场景组织</x:v>
      </x:c>
      <x:c r="B30" s="14" t="str">
        <x:v>https://docs.godotengine.org/en/stable/tutorials/best_practices/scene_organization.html</x:v>
      </x:c>
      <x:c r="C30" s="14" t="str"/>
      <x:c r="D30" s="14" t="str"/>
      <x:c r="E30" s="14" t="str"/>
      <x:c r="F30" s="14" t="str"/>
    </x:row>
    <x:row r="31">
      <x:c r="A31" s="14" t="str">
        <x:v>Godot Open RPG</x:v>
      </x:c>
      <x:c r="B31" s="14" t="str">
        <x:v>https://github.com/gdquest-demos/godot-open-rpg</x:v>
      </x:c>
      <x:c r="C31" s="14" t="str"/>
      <x:c r="D31" s="14" t="str"/>
      <x:c r="E31" s="14" t="str"/>
      <x:c r="F31" s="14" t="str"/>
    </x:row>
  </x:sheetData>
  <x:mergeCells>
    <x:mergeCell ref="A1:F2"/>
  </x:mergeCells>
  <x:pageMargins left="0.7" right="0.7" top="0.75" bottom="0.75" header="0.3" footer="0.3"/>
</x:worksheet>
</file>